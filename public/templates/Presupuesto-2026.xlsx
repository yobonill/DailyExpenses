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OneDrive\Presupuesto\"/>
    </mc:Choice>
  </mc:AlternateContent>
  <xr:revisionPtr revIDLastSave="0" documentId="13_ncr:1_{CC897057-E095-42AB-B08C-C7C651763AB6}" xr6:coauthVersionLast="47" xr6:coauthVersionMax="47" xr10:uidLastSave="{00000000-0000-0000-0000-000000000000}"/>
  <bookViews>
    <workbookView xWindow="-108" yWindow="-108" windowWidth="23256" windowHeight="12576" activeTab="1" xr2:uid="{00000000-000D-0000-FFFF-FFFF00000000}"/>
  </bookViews>
  <sheets>
    <sheet name="2026" sheetId="9" r:id="rId1"/>
    <sheet name="Calculos" sheetId="11" r:id="rId2"/>
    <sheet name="Prestamos" sheetId="13" r:id="rId3"/>
    <sheet name="2doHogar" sheetId="10" r:id="rId4"/>
    <sheet name="Prestamo Hipotecario" sheetId="15" r:id="rId5"/>
    <sheet name="Alfombra" sheetId="14" r:id="rId6"/>
  </sheets>
  <definedNames>
    <definedName name="AmountSaved" localSheetId="3">#REF!</definedName>
    <definedName name="AmountSaved">#REF!</definedName>
    <definedName name="AnnualSavings" localSheetId="3">#REF!</definedName>
    <definedName name="AnnualSavings">#REF!</definedName>
    <definedName name="Beg_Bal" localSheetId="4">'Prestamo Hipotecario'!$C$18:$C$377</definedName>
    <definedName name="Beg_Bal">#REF!</definedName>
    <definedName name="BiWeeklySavings">#REF!</definedName>
    <definedName name="BiWeeksUntilEvent">#REF!</definedName>
    <definedName name="ColumnTitleRegion1..E3">#REF!</definedName>
    <definedName name="DailySavings">#REF!</definedName>
    <definedName name="Data" localSheetId="4">'Prestamo Hipotecario'!$A$18:$I$377</definedName>
    <definedName name="Data">#REF!</definedName>
    <definedName name="DateSavingsBegin">#REF!</definedName>
    <definedName name="DaysUntilEvent">#REF!</definedName>
    <definedName name="End_Bal" localSheetId="4">'Prestamo Hipotecario'!$I$18:$I$377</definedName>
    <definedName name="End_Bal">#REF!</definedName>
    <definedName name="EventCost">#REF!</definedName>
    <definedName name="EventDate">#REF!</definedName>
    <definedName name="Extra_Pay" localSheetId="4">'Prestamo Hipotecario'!$E$18:$E$377</definedName>
    <definedName name="Extra_Pay">#REF!</definedName>
    <definedName name="Full_Print" localSheetId="4">'Prestamo Hipotecario'!$A$1:$I$377</definedName>
    <definedName name="Full_Print">#REF!</definedName>
    <definedName name="Goal">#REF!</definedName>
    <definedName name="Header_Row" localSheetId="4">ROW('Prestamo Hipotecario'!$17:$17)</definedName>
    <definedName name="Header_Row">"ROW([$'Calculadora de préstamos'.$A$17:.$AMJ$17])"</definedName>
    <definedName name="Int" localSheetId="4">'Prestamo Hipotecario'!$H$18:$H$377</definedName>
    <definedName name="Int">#REF!</definedName>
    <definedName name="Interest_Rate" localSheetId="4">'Prestamo Hipotecario'!$D$5</definedName>
    <definedName name="Interest_Rate">#REF!</definedName>
    <definedName name="Last_Row" localSheetId="4">IF('Prestamo Hipotecario'!Values_Entered,'Prestamo Hipotecario'!Header_Row+'Prestamo Hipotecario'!Number_of_Payments,'Prestamo Hipotecario'!Header_Row)</definedName>
    <definedName name="Last_Row">"IF(Values_Entered;Header_Row+Number_of_Payments;Header_Row)"</definedName>
    <definedName name="Loan_Amount" localSheetId="4">'Prestamo Hipotecario'!$D$4</definedName>
    <definedName name="Loan_Amount">#REF!</definedName>
    <definedName name="Loan_Start" localSheetId="4">'Prestamo Hipotecario'!$D$7</definedName>
    <definedName name="Loan_Start">#REF!</definedName>
    <definedName name="Loan_Years" localSheetId="4">'Prestamo Hipotecario'!$D$6</definedName>
    <definedName name="Loan_Years">#REF!</definedName>
    <definedName name="MonthlySavings">#REF!</definedName>
    <definedName name="MonthsUntilEvent">#REF!</definedName>
    <definedName name="Number_of_Payments" localSheetId="4">MATCH(0.01,'Prestamo Hipotecario'!End_Bal,-1)+1</definedName>
    <definedName name="Number_of_Payments">"MATCH(0.01;End_Bal;-1)+1"</definedName>
    <definedName name="Pay_Date" localSheetId="4">'Prestamo Hipotecario'!$B$18:$B$377</definedName>
    <definedName name="Pay_Date">#REF!</definedName>
    <definedName name="Pay_Num" localSheetId="4">'Prestamo Hipotecario'!$A$18:$A$377</definedName>
    <definedName name="Pay_Num">#REF!</definedName>
    <definedName name="Payment_Date" localSheetId="4">DATE(YEAR('Prestamo Hipotecario'!Loan_Start),MONTH('Prestamo Hipotecario'!Loan_Start)+Payment_Number,DAY('Prestamo Hipotecario'!Loan_Start))</definedName>
    <definedName name="Payment_Date">"DATE(YEAR(Loan_Start);MONTH(Loan_Start)+#NAME?;DAY(Loan_Start))"</definedName>
    <definedName name="Princ" localSheetId="4">'Prestamo Hipotecario'!$G$18:$G$377</definedName>
    <definedName name="Princ">#REF!</definedName>
    <definedName name="Print_Area_Reset" localSheetId="4">OFFSET('Prestamo Hipotecario'!Full_Print,0,0,'Prestamo Hipotecario'!Last_Row)</definedName>
    <definedName name="Print_Area_Reset">"OFFSET(Full_Print;0;0;Last_Row)"</definedName>
    <definedName name="_xlnm.Print_Titles" localSheetId="4">'Prestamo Hipotecario'!$17:$17</definedName>
    <definedName name="RowTitleRegion1..C6">#REF!</definedName>
    <definedName name="RowTitleRegion2..C9">#REF!</definedName>
    <definedName name="SavingFrequency">#REF!</definedName>
    <definedName name="SavingsPlanInfo" localSheetId="3">IF(SavingFrequency="Weekly",WeeklySavings,IF(SavingFrequency="Bi-Weekly",BiWeeklySavings,IF(SavingFrequency="Monthly",MonthlySavings,'2doHogar'!AnnualSavings)))</definedName>
    <definedName name="SavingsPlanInfo" localSheetId="4">IF(SavingFrequency="Weekly",WeeklySavings,IF(SavingFrequency="Bi-Weekly",BiWeeklySavings,IF(SavingFrequency="Monthly",MonthlySavings,AnnualSavings)))</definedName>
    <definedName name="SavingsPlanInfo">IF(SavingFrequency="Weekly",WeeklySavings,IF(SavingFrequency="Bi-Weekly",BiWeeklySavings,IF(SavingFrequency="Monthly",MonthlySavings,AnnualSavings)))</definedName>
    <definedName name="SavingsToDate" localSheetId="3">#REF!</definedName>
    <definedName name="SavingsToDate">#REF!</definedName>
    <definedName name="Sched_Pay" localSheetId="4">'Prestamo Hipotecario'!$D$18:$D$377</definedName>
    <definedName name="Sched_Pay">#REF!</definedName>
    <definedName name="Scheduled_Extra_Payments" localSheetId="4">'Prestamo Hipotecario'!$D$8</definedName>
    <definedName name="Scheduled_Extra_Payments">#REF!</definedName>
    <definedName name="Scheduled_Interest_Rate" localSheetId="4">'Prestamo Hipotecario'!$D$5</definedName>
    <definedName name="Scheduled_Interest_Rate">#REF!</definedName>
    <definedName name="Scheduled_Monthly_Payment" localSheetId="4">'Prestamo Hipotecario'!$D$11</definedName>
    <definedName name="Scheduled_Monthly_Payment">#REF!</definedName>
    <definedName name="TitleRegion1..G13">#REF!</definedName>
    <definedName name="TitleRegion2..G15">#REF!</definedName>
    <definedName name="Total_Interest" localSheetId="4">'Prestamo Hipotecario'!$D$15</definedName>
    <definedName name="Total_Interest">#REF!</definedName>
    <definedName name="Total_Pay" localSheetId="4">'Prestamo Hipotecario'!$F$18:$F$377</definedName>
    <definedName name="Total_Pay">#REF!</definedName>
    <definedName name="Total_Payment" localSheetId="4">Scheduled_Payment+Extra_Payment</definedName>
    <definedName name="Total_Payment">"#NAME?+#NAME?"</definedName>
    <definedName name="Values_Entered" localSheetId="4">IF('Prestamo Hipotecario'!Loan_Amount*'Prestamo Hipotecario'!Interest_Rate*'Prestamo Hipotecario'!Loan_Years*'Prestamo Hipotecario'!Loan_Start&gt;0,1,0)</definedName>
    <definedName name="Values_Entered">"IF(Loan_Amount*Interest_Rate*Loan_Years*Loan_Start&gt;0;1;0)"</definedName>
    <definedName name="WeeklySavings">#REF!</definedName>
    <definedName name="WeeksUntilEvent">#REF!</definedName>
    <definedName name="YearsUntilEven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11" l="1"/>
  <c r="G14" i="11"/>
  <c r="H3" i="11"/>
  <c r="F146" i="9"/>
  <c r="C175" i="9"/>
  <c r="F169" i="9"/>
  <c r="C169" i="9"/>
  <c r="F168" i="9"/>
  <c r="F166" i="9"/>
  <c r="C166" i="9"/>
  <c r="C3" i="11"/>
  <c r="D154" i="9"/>
  <c r="C152" i="9"/>
  <c r="C142" i="9"/>
  <c r="I5" i="11"/>
  <c r="F131" i="9"/>
  <c r="F125" i="9"/>
  <c r="F124" i="9"/>
  <c r="F152" i="9"/>
  <c r="C153" i="9"/>
  <c r="C147" i="9"/>
  <c r="F147" i="9"/>
  <c r="F144" i="9"/>
  <c r="C144" i="9"/>
  <c r="F143" i="9"/>
  <c r="C143" i="9"/>
  <c r="F130" i="9"/>
  <c r="G120" i="9"/>
  <c r="G121" i="9"/>
  <c r="D132" i="9"/>
  <c r="D110" i="9"/>
  <c r="F109" i="9"/>
  <c r="G99" i="9"/>
  <c r="F99" i="9" s="1"/>
  <c r="P99" i="9"/>
  <c r="G98" i="9"/>
  <c r="C99" i="9"/>
  <c r="C7" i="10"/>
  <c r="B9" i="10"/>
  <c r="B8" i="10"/>
  <c r="C23" i="10" l="1"/>
  <c r="C109" i="9"/>
  <c r="D109" i="9"/>
  <c r="G77" i="9"/>
  <c r="D107" i="9"/>
  <c r="D98" i="9"/>
  <c r="G78" i="9"/>
  <c r="F87" i="9" l="1"/>
  <c r="N86" i="9"/>
  <c r="D88" i="9" s="1"/>
  <c r="N89" i="9"/>
  <c r="N76" i="9"/>
  <c r="D77" i="9"/>
  <c r="N88" i="9"/>
  <c r="F100" i="9"/>
  <c r="C100" i="9"/>
  <c r="F103" i="9"/>
  <c r="C103" i="9"/>
  <c r="D84" i="9"/>
  <c r="N87" i="9"/>
  <c r="C81" i="9"/>
  <c r="C87" i="9"/>
  <c r="D85" i="9" l="1"/>
  <c r="D76" i="9"/>
  <c r="F78" i="9"/>
  <c r="C78" i="9"/>
  <c r="D66" i="9"/>
  <c r="C66" i="9" s="1"/>
  <c r="F81" i="9"/>
  <c r="F80" i="9"/>
  <c r="D56" i="9"/>
  <c r="N67" i="9"/>
  <c r="N59" i="9"/>
  <c r="N58" i="9"/>
  <c r="F55" i="9"/>
  <c r="D62" i="9"/>
  <c r="N56" i="9"/>
  <c r="N57" i="9"/>
  <c r="N55" i="9"/>
  <c r="N63" i="9"/>
  <c r="F58" i="9"/>
  <c r="D54" i="9"/>
  <c r="C54" i="9"/>
  <c r="C59" i="9"/>
  <c r="C65" i="9"/>
  <c r="D63" i="9"/>
  <c r="G32" i="9"/>
  <c r="F41" i="9"/>
  <c r="N41" i="9"/>
  <c r="N32" i="9"/>
  <c r="D32" i="9"/>
  <c r="N42" i="9"/>
  <c r="D33" i="9"/>
  <c r="D41" i="9"/>
  <c r="D42" i="9"/>
  <c r="C42" i="9" s="1"/>
  <c r="D43" i="9"/>
  <c r="C43" i="9"/>
  <c r="C33" i="9" l="1"/>
  <c r="F33" i="9"/>
  <c r="I26" i="9"/>
  <c r="G12" i="9"/>
  <c r="G22" i="9"/>
  <c r="F22" i="9" s="1"/>
  <c r="G11" i="9"/>
  <c r="F11" i="9" s="1"/>
  <c r="F37" i="9"/>
  <c r="C37" i="9"/>
  <c r="C11" i="9"/>
  <c r="F38" i="9"/>
  <c r="C38" i="9"/>
  <c r="F43" i="9"/>
  <c r="F21" i="9"/>
  <c r="C18" i="9"/>
  <c r="P17" i="9"/>
  <c r="D16" i="9"/>
  <c r="F20" i="9"/>
  <c r="F19" i="9"/>
  <c r="F15" i="9"/>
  <c r="F14" i="9"/>
  <c r="C15" i="9"/>
  <c r="D11" i="9"/>
  <c r="G10" i="9"/>
  <c r="P11" i="9"/>
  <c r="D23" i="10"/>
  <c r="F23" i="10" s="1"/>
  <c r="C22" i="10"/>
  <c r="D22" i="10" s="1"/>
  <c r="F22" i="10" s="1"/>
  <c r="C21" i="10"/>
  <c r="D21" i="10" s="1"/>
  <c r="F21" i="10" s="1"/>
  <c r="C20" i="10"/>
  <c r="C19" i="10"/>
  <c r="C18" i="10"/>
  <c r="D18" i="10" s="1"/>
  <c r="F18" i="10" s="1"/>
  <c r="C18" i="15"/>
  <c r="A18" i="15"/>
  <c r="A19" i="15" s="1"/>
  <c r="A20" i="15" s="1"/>
  <c r="D12" i="15"/>
  <c r="D11" i="15"/>
  <c r="G23" i="10" l="1"/>
  <c r="H23" i="10" s="1"/>
  <c r="G22" i="10"/>
  <c r="H22" i="10" s="1"/>
  <c r="G18" i="10"/>
  <c r="H18" i="10" s="1"/>
  <c r="G21" i="10"/>
  <c r="H21" i="10" s="1"/>
  <c r="D19" i="10"/>
  <c r="F19" i="10" s="1"/>
  <c r="D20" i="10"/>
  <c r="F20" i="10" s="1"/>
  <c r="E19" i="15"/>
  <c r="E18" i="15"/>
  <c r="D18" i="15"/>
  <c r="F18" i="15" s="1"/>
  <c r="A21" i="15"/>
  <c r="D20" i="15"/>
  <c r="E20" i="15"/>
  <c r="B18" i="15"/>
  <c r="B19" i="15" s="1"/>
  <c r="B20" i="15" s="1"/>
  <c r="D19" i="15"/>
  <c r="F19" i="15" s="1"/>
  <c r="H18" i="15"/>
  <c r="G19" i="10" l="1"/>
  <c r="H19" i="10" s="1"/>
  <c r="G20" i="10"/>
  <c r="H20" i="10" s="1"/>
  <c r="F20" i="15"/>
  <c r="G18" i="15"/>
  <c r="I18" i="15" s="1"/>
  <c r="C19" i="15" s="1"/>
  <c r="E21" i="15"/>
  <c r="D21" i="15"/>
  <c r="F21" i="15" s="1"/>
  <c r="B21" i="15"/>
  <c r="A22" i="15"/>
  <c r="E22" i="15" l="1"/>
  <c r="D22" i="15"/>
  <c r="F22" i="15" s="1"/>
  <c r="B22" i="15"/>
  <c r="A23" i="15"/>
  <c r="H19" i="15"/>
  <c r="G19" i="15" s="1"/>
  <c r="I19" i="15" s="1"/>
  <c r="C20" i="15" l="1"/>
  <c r="E23" i="15"/>
  <c r="D23" i="15"/>
  <c r="B23" i="15"/>
  <c r="A24" i="15"/>
  <c r="F23" i="15" l="1"/>
  <c r="D24" i="15"/>
  <c r="A25" i="15"/>
  <c r="E24" i="15"/>
  <c r="B24" i="15"/>
  <c r="H20" i="15"/>
  <c r="G20" i="15" s="1"/>
  <c r="I20" i="15" s="1"/>
  <c r="F24" i="15" l="1"/>
  <c r="C21" i="15"/>
  <c r="E25" i="15"/>
  <c r="A26" i="15"/>
  <c r="D25" i="15"/>
  <c r="F25" i="15" s="1"/>
  <c r="B25" i="15"/>
  <c r="D26" i="15" l="1"/>
  <c r="A27" i="15"/>
  <c r="B26" i="15"/>
  <c r="E26" i="15"/>
  <c r="H21" i="15"/>
  <c r="G21" i="15" s="1"/>
  <c r="I21" i="15" s="1"/>
  <c r="F26" i="15" l="1"/>
  <c r="C22" i="15"/>
  <c r="E27" i="15"/>
  <c r="D27" i="15"/>
  <c r="B27" i="15"/>
  <c r="A28" i="15"/>
  <c r="F27" i="15" l="1"/>
  <c r="A29" i="15"/>
  <c r="B28" i="15"/>
  <c r="E28" i="15"/>
  <c r="D28" i="15"/>
  <c r="H22" i="15"/>
  <c r="G22" i="15" s="1"/>
  <c r="I22" i="15" s="1"/>
  <c r="F28" i="15" l="1"/>
  <c r="C23" i="15"/>
  <c r="D29" i="15"/>
  <c r="B29" i="15"/>
  <c r="E29" i="15"/>
  <c r="F29" i="15" s="1"/>
  <c r="A30" i="15"/>
  <c r="A31" i="15" l="1"/>
  <c r="E31" i="15" s="1"/>
  <c r="E30" i="15"/>
  <c r="D30" i="15"/>
  <c r="F30" i="15" s="1"/>
  <c r="B30" i="15"/>
  <c r="H23" i="15"/>
  <c r="G23" i="15" s="1"/>
  <c r="I23" i="15" s="1"/>
  <c r="C24" i="15" s="1"/>
  <c r="D31" i="15" l="1"/>
  <c r="F31" i="15" s="1"/>
  <c r="A32" i="15"/>
  <c r="B31" i="15"/>
  <c r="H24" i="15"/>
  <c r="G24" i="15" s="1"/>
  <c r="I24" i="15" s="1"/>
  <c r="C25" i="15" s="1"/>
  <c r="H25" i="15" l="1"/>
  <c r="G25" i="15" s="1"/>
  <c r="I25" i="15" s="1"/>
  <c r="C26" i="15" s="1"/>
  <c r="E32" i="15"/>
  <c r="B32" i="15"/>
  <c r="A33" i="15"/>
  <c r="D32" i="15"/>
  <c r="F32" i="15" s="1"/>
  <c r="H26" i="15" l="1"/>
  <c r="G26" i="15" s="1"/>
  <c r="I26" i="15" s="1"/>
  <c r="C27" i="15" s="1"/>
  <c r="D33" i="15"/>
  <c r="E33" i="15"/>
  <c r="A34" i="15"/>
  <c r="B33" i="15"/>
  <c r="F33" i="15" l="1"/>
  <c r="H27" i="15"/>
  <c r="G27" i="15" s="1"/>
  <c r="I27" i="15"/>
  <c r="C28" i="15" s="1"/>
  <c r="E34" i="15"/>
  <c r="A35" i="15"/>
  <c r="B34" i="15"/>
  <c r="D34" i="15"/>
  <c r="F34" i="15" s="1"/>
  <c r="D35" i="15" l="1"/>
  <c r="A36" i="15"/>
  <c r="B35" i="15"/>
  <c r="E35" i="15"/>
  <c r="H28" i="15"/>
  <c r="G28" i="15" s="1"/>
  <c r="I28" i="15" s="1"/>
  <c r="C29" i="15" s="1"/>
  <c r="F35" i="15" l="1"/>
  <c r="H29" i="15"/>
  <c r="G29" i="15" s="1"/>
  <c r="I29" i="15" s="1"/>
  <c r="C30" i="15" s="1"/>
  <c r="B36" i="15"/>
  <c r="A37" i="15"/>
  <c r="E37" i="15" s="1"/>
  <c r="E36" i="15"/>
  <c r="D36" i="15"/>
  <c r="F36" i="15" s="1"/>
  <c r="H30" i="15" l="1"/>
  <c r="G30" i="15" s="1"/>
  <c r="I30" i="15" s="1"/>
  <c r="C31" i="15" s="1"/>
  <c r="B37" i="15"/>
  <c r="D37" i="15"/>
  <c r="F37" i="15" s="1"/>
  <c r="A38" i="15"/>
  <c r="E38" i="15" s="1"/>
  <c r="H31" i="15" l="1"/>
  <c r="G31" i="15" s="1"/>
  <c r="I31" i="15" s="1"/>
  <c r="C32" i="15" s="1"/>
  <c r="B38" i="15"/>
  <c r="A39" i="15"/>
  <c r="D38" i="15"/>
  <c r="F38" i="15" s="1"/>
  <c r="H32" i="15" l="1"/>
  <c r="G32" i="15" s="1"/>
  <c r="I32" i="15" s="1"/>
  <c r="C33" i="15" s="1"/>
  <c r="A40" i="15"/>
  <c r="B39" i="15"/>
  <c r="E39" i="15"/>
  <c r="D39" i="15"/>
  <c r="F39" i="15" l="1"/>
  <c r="H33" i="15"/>
  <c r="G33" i="15" s="1"/>
  <c r="I33" i="15" s="1"/>
  <c r="C34" i="15" s="1"/>
  <c r="E40" i="15"/>
  <c r="D40" i="15"/>
  <c r="F40" i="15" s="1"/>
  <c r="B40" i="15"/>
  <c r="A41" i="15"/>
  <c r="H34" i="15" l="1"/>
  <c r="G34" i="15" s="1"/>
  <c r="I34" i="15" s="1"/>
  <c r="C35" i="15" s="1"/>
  <c r="E41" i="15"/>
  <c r="A42" i="15"/>
  <c r="D41" i="15"/>
  <c r="B41" i="15"/>
  <c r="F41" i="15" l="1"/>
  <c r="H35" i="15"/>
  <c r="G35" i="15" s="1"/>
  <c r="I35" i="15" s="1"/>
  <c r="C36" i="15" s="1"/>
  <c r="E42" i="15"/>
  <c r="D42" i="15"/>
  <c r="F42" i="15" s="1"/>
  <c r="A43" i="15"/>
  <c r="B42" i="15"/>
  <c r="H36" i="15" l="1"/>
  <c r="G36" i="15" s="1"/>
  <c r="I36" i="15" s="1"/>
  <c r="C37" i="15" s="1"/>
  <c r="D43" i="15"/>
  <c r="F43" i="15" s="1"/>
  <c r="B43" i="15"/>
  <c r="A44" i="15"/>
  <c r="D44" i="15" l="1"/>
  <c r="B44" i="15"/>
  <c r="E44" i="15"/>
  <c r="A45" i="15"/>
  <c r="H37" i="15"/>
  <c r="G37" i="15" s="1"/>
  <c r="I37" i="15" s="1"/>
  <c r="C38" i="15" s="1"/>
  <c r="F44" i="15" l="1"/>
  <c r="H38" i="15"/>
  <c r="G38" i="15" s="1"/>
  <c r="I38" i="15" s="1"/>
  <c r="C39" i="15" s="1"/>
  <c r="E45" i="15"/>
  <c r="A46" i="15"/>
  <c r="B45" i="15"/>
  <c r="D45" i="15"/>
  <c r="F45" i="15" s="1"/>
  <c r="H39" i="15" l="1"/>
  <c r="G39" i="15" s="1"/>
  <c r="I39" i="15" s="1"/>
  <c r="C40" i="15" s="1"/>
  <c r="D46" i="15"/>
  <c r="A47" i="15"/>
  <c r="B46" i="15"/>
  <c r="E46" i="15"/>
  <c r="F46" i="15" s="1"/>
  <c r="H40" i="15" l="1"/>
  <c r="G40" i="15" s="1"/>
  <c r="I40" i="15" s="1"/>
  <c r="C41" i="15" s="1"/>
  <c r="E47" i="15"/>
  <c r="A48" i="15"/>
  <c r="B47" i="15"/>
  <c r="D47" i="15"/>
  <c r="F47" i="15" l="1"/>
  <c r="H41" i="15"/>
  <c r="G41" i="15" s="1"/>
  <c r="I41" i="15" s="1"/>
  <c r="C42" i="15" s="1"/>
  <c r="A49" i="15"/>
  <c r="B48" i="15"/>
  <c r="D48" i="15"/>
  <c r="E48" i="15"/>
  <c r="F48" i="15" l="1"/>
  <c r="H42" i="15"/>
  <c r="G42" i="15" s="1"/>
  <c r="I42" i="15" s="1"/>
  <c r="C43" i="15" s="1"/>
  <c r="A50" i="15"/>
  <c r="B49" i="15"/>
  <c r="E49" i="15"/>
  <c r="D49" i="15"/>
  <c r="F49" i="15" s="1"/>
  <c r="H43" i="15" l="1"/>
  <c r="G43" i="15" s="1"/>
  <c r="I43" i="15" s="1"/>
  <c r="C44" i="15" s="1"/>
  <c r="E50" i="15"/>
  <c r="A51" i="15"/>
  <c r="B50" i="15"/>
  <c r="D50" i="15"/>
  <c r="F50" i="15" l="1"/>
  <c r="H44" i="15"/>
  <c r="G44" i="15" s="1"/>
  <c r="I44" i="15" s="1"/>
  <c r="C45" i="15" s="1"/>
  <c r="E51" i="15"/>
  <c r="D51" i="15"/>
  <c r="A52" i="15"/>
  <c r="B51" i="15"/>
  <c r="F51" i="15" l="1"/>
  <c r="H45" i="15"/>
  <c r="G45" i="15" s="1"/>
  <c r="I45" i="15" s="1"/>
  <c r="C46" i="15" s="1"/>
  <c r="D52" i="15"/>
  <c r="A53" i="15"/>
  <c r="E52" i="15"/>
  <c r="B52" i="15"/>
  <c r="F52" i="15" l="1"/>
  <c r="H46" i="15"/>
  <c r="G46" i="15" s="1"/>
  <c r="I46" i="15" s="1"/>
  <c r="C47" i="15" s="1"/>
  <c r="E53" i="15"/>
  <c r="A54" i="15"/>
  <c r="B53" i="15"/>
  <c r="D53" i="15"/>
  <c r="F53" i="15" s="1"/>
  <c r="D54" i="15" l="1"/>
  <c r="A55" i="15"/>
  <c r="B54" i="15"/>
  <c r="E54" i="15"/>
  <c r="F54" i="15" s="1"/>
  <c r="H47" i="15"/>
  <c r="G47" i="15" s="1"/>
  <c r="I47" i="15" s="1"/>
  <c r="C48" i="15" s="1"/>
  <c r="H48" i="15" l="1"/>
  <c r="G48" i="15" s="1"/>
  <c r="I48" i="15"/>
  <c r="C49" i="15" s="1"/>
  <c r="E55" i="15"/>
  <c r="D55" i="15"/>
  <c r="B55" i="15"/>
  <c r="A56" i="15"/>
  <c r="F55" i="15" l="1"/>
  <c r="H49" i="15"/>
  <c r="G49" i="15" s="1"/>
  <c r="I49" i="15" s="1"/>
  <c r="C50" i="15" s="1"/>
  <c r="A57" i="15"/>
  <c r="B56" i="15"/>
  <c r="D56" i="15"/>
  <c r="E56" i="15"/>
  <c r="F56" i="15" l="1"/>
  <c r="H50" i="15"/>
  <c r="G50" i="15" s="1"/>
  <c r="I50" i="15" s="1"/>
  <c r="C51" i="15" s="1"/>
  <c r="D57" i="15"/>
  <c r="B57" i="15"/>
  <c r="A58" i="15"/>
  <c r="E57" i="15"/>
  <c r="F57" i="15" l="1"/>
  <c r="H51" i="15"/>
  <c r="G51" i="15" s="1"/>
  <c r="I51" i="15" s="1"/>
  <c r="C52" i="15" s="1"/>
  <c r="E58" i="15"/>
  <c r="A59" i="15"/>
  <c r="B58" i="15"/>
  <c r="D58" i="15"/>
  <c r="F58" i="15" s="1"/>
  <c r="H52" i="15" l="1"/>
  <c r="G52" i="15" s="1"/>
  <c r="I52" i="15" s="1"/>
  <c r="C53" i="15" s="1"/>
  <c r="E59" i="15"/>
  <c r="D59" i="15"/>
  <c r="F59" i="15" s="1"/>
  <c r="B59" i="15"/>
  <c r="A60" i="15"/>
  <c r="H53" i="15" l="1"/>
  <c r="G53" i="15" s="1"/>
  <c r="I53" i="15" s="1"/>
  <c r="C54" i="15" s="1"/>
  <c r="D60" i="15"/>
  <c r="E60" i="15"/>
  <c r="B60" i="15"/>
  <c r="A61" i="15"/>
  <c r="F60" i="15" l="1"/>
  <c r="H54" i="15"/>
  <c r="G54" i="15" s="1"/>
  <c r="I54" i="15" s="1"/>
  <c r="C55" i="15" s="1"/>
  <c r="E61" i="15"/>
  <c r="A62" i="15"/>
  <c r="B61" i="15"/>
  <c r="D61" i="15"/>
  <c r="F61" i="15" s="1"/>
  <c r="H55" i="15" l="1"/>
  <c r="G55" i="15" s="1"/>
  <c r="I55" i="15" s="1"/>
  <c r="C56" i="15" s="1"/>
  <c r="D62" i="15"/>
  <c r="A63" i="15"/>
  <c r="B62" i="15"/>
  <c r="E62" i="15"/>
  <c r="F62" i="15" s="1"/>
  <c r="H56" i="15" l="1"/>
  <c r="G56" i="15" s="1"/>
  <c r="I56" i="15" s="1"/>
  <c r="C57" i="15" s="1"/>
  <c r="E63" i="15"/>
  <c r="A64" i="15"/>
  <c r="D63" i="15"/>
  <c r="F63" i="15" s="1"/>
  <c r="B63" i="15"/>
  <c r="H57" i="15" l="1"/>
  <c r="G57" i="15" s="1"/>
  <c r="I57" i="15" s="1"/>
  <c r="C58" i="15" s="1"/>
  <c r="A65" i="15"/>
  <c r="B64" i="15"/>
  <c r="D64" i="15"/>
  <c r="E64" i="15"/>
  <c r="F64" i="15" l="1"/>
  <c r="H58" i="15"/>
  <c r="G58" i="15" s="1"/>
  <c r="I58" i="15" s="1"/>
  <c r="C59" i="15" s="1"/>
  <c r="A66" i="15"/>
  <c r="E65" i="15"/>
  <c r="D65" i="15"/>
  <c r="F65" i="15" s="1"/>
  <c r="B65" i="15"/>
  <c r="H59" i="15" l="1"/>
  <c r="G59" i="15" s="1"/>
  <c r="I59" i="15" s="1"/>
  <c r="C60" i="15" s="1"/>
  <c r="E66" i="15"/>
  <c r="A67" i="15"/>
  <c r="B66" i="15"/>
  <c r="D66" i="15"/>
  <c r="F66" i="15" s="1"/>
  <c r="H60" i="15" l="1"/>
  <c r="G60" i="15" s="1"/>
  <c r="I60" i="15" s="1"/>
  <c r="C61" i="15" s="1"/>
  <c r="E67" i="15"/>
  <c r="D67" i="15"/>
  <c r="F67" i="15" s="1"/>
  <c r="A68" i="15"/>
  <c r="B67" i="15"/>
  <c r="H61" i="15" l="1"/>
  <c r="G61" i="15" s="1"/>
  <c r="I61" i="15" s="1"/>
  <c r="C62" i="15" s="1"/>
  <c r="D68" i="15"/>
  <c r="A69" i="15"/>
  <c r="E68" i="15"/>
  <c r="B68" i="15"/>
  <c r="F68" i="15" l="1"/>
  <c r="H62" i="15"/>
  <c r="G62" i="15" s="1"/>
  <c r="I62" i="15" s="1"/>
  <c r="C63" i="15" s="1"/>
  <c r="E69" i="15"/>
  <c r="A70" i="15"/>
  <c r="B69" i="15"/>
  <c r="D69" i="15"/>
  <c r="F69" i="15" s="1"/>
  <c r="H63" i="15" l="1"/>
  <c r="G63" i="15" s="1"/>
  <c r="I63" i="15" s="1"/>
  <c r="C64" i="15" s="1"/>
  <c r="D70" i="15"/>
  <c r="A71" i="15"/>
  <c r="B70" i="15"/>
  <c r="E70" i="15"/>
  <c r="F70" i="15" s="1"/>
  <c r="H64" i="15" l="1"/>
  <c r="G64" i="15" s="1"/>
  <c r="I64" i="15" s="1"/>
  <c r="C65" i="15" s="1"/>
  <c r="A72" i="15"/>
  <c r="E71" i="15"/>
  <c r="D71" i="15"/>
  <c r="F71" i="15" s="1"/>
  <c r="B71" i="15"/>
  <c r="H65" i="15" l="1"/>
  <c r="G65" i="15" s="1"/>
  <c r="I65" i="15" s="1"/>
  <c r="C66" i="15" s="1"/>
  <c r="A73" i="15"/>
  <c r="E72" i="15"/>
  <c r="D72" i="15"/>
  <c r="F72" i="15" s="1"/>
  <c r="B72" i="15"/>
  <c r="A74" i="15" l="1"/>
  <c r="E73" i="15"/>
  <c r="D73" i="15"/>
  <c r="F73" i="15" s="1"/>
  <c r="B73" i="15"/>
  <c r="H66" i="15"/>
  <c r="G66" i="15" s="1"/>
  <c r="I66" i="15" s="1"/>
  <c r="C67" i="15" s="1"/>
  <c r="H67" i="15" l="1"/>
  <c r="G67" i="15" s="1"/>
  <c r="I67" i="15" s="1"/>
  <c r="C68" i="15" s="1"/>
  <c r="A75" i="15"/>
  <c r="E74" i="15"/>
  <c r="D74" i="15"/>
  <c r="F74" i="15" s="1"/>
  <c r="B74" i="15"/>
  <c r="A76" i="15" l="1"/>
  <c r="E75" i="15"/>
  <c r="D75" i="15"/>
  <c r="F75" i="15" s="1"/>
  <c r="B75" i="15"/>
  <c r="H68" i="15"/>
  <c r="G68" i="15" s="1"/>
  <c r="I68" i="15" s="1"/>
  <c r="C69" i="15" s="1"/>
  <c r="H69" i="15" l="1"/>
  <c r="G69" i="15" s="1"/>
  <c r="I69" i="15" s="1"/>
  <c r="C70" i="15" s="1"/>
  <c r="E76" i="15"/>
  <c r="A77" i="15"/>
  <c r="D76" i="15"/>
  <c r="F76" i="15" s="1"/>
  <c r="B76" i="15"/>
  <c r="D77" i="15" l="1"/>
  <c r="A78" i="15"/>
  <c r="E77" i="15"/>
  <c r="B77" i="15"/>
  <c r="H70" i="15"/>
  <c r="G70" i="15" s="1"/>
  <c r="I70" i="15" s="1"/>
  <c r="C71" i="15" s="1"/>
  <c r="F77" i="15" l="1"/>
  <c r="H71" i="15"/>
  <c r="G71" i="15" s="1"/>
  <c r="I71" i="15" s="1"/>
  <c r="C72" i="15" s="1"/>
  <c r="D78" i="15"/>
  <c r="A79" i="15"/>
  <c r="E78" i="15"/>
  <c r="F78" i="15" s="1"/>
  <c r="B78" i="15"/>
  <c r="D79" i="15" l="1"/>
  <c r="A80" i="15"/>
  <c r="B79" i="15"/>
  <c r="E79" i="15"/>
  <c r="F79" i="15" s="1"/>
  <c r="H72" i="15"/>
  <c r="G72" i="15" s="1"/>
  <c r="I72" i="15" s="1"/>
  <c r="C73" i="15" s="1"/>
  <c r="H73" i="15" l="1"/>
  <c r="G73" i="15" s="1"/>
  <c r="I73" i="15" s="1"/>
  <c r="C74" i="15" s="1"/>
  <c r="D80" i="15"/>
  <c r="B80" i="15"/>
  <c r="A81" i="15"/>
  <c r="E80" i="15"/>
  <c r="F80" i="15" l="1"/>
  <c r="H74" i="15"/>
  <c r="G74" i="15" s="1"/>
  <c r="I74" i="15" s="1"/>
  <c r="C75" i="15" s="1"/>
  <c r="A82" i="15"/>
  <c r="B81" i="15"/>
  <c r="E81" i="15"/>
  <c r="F81" i="15" s="1"/>
  <c r="D81" i="15"/>
  <c r="H75" i="15" l="1"/>
  <c r="G75" i="15" s="1"/>
  <c r="I75" i="15"/>
  <c r="C76" i="15" s="1"/>
  <c r="A83" i="15"/>
  <c r="E82" i="15"/>
  <c r="B82" i="15"/>
  <c r="D82" i="15"/>
  <c r="F82" i="15" s="1"/>
  <c r="H76" i="15" l="1"/>
  <c r="G76" i="15" s="1"/>
  <c r="I76" i="15" s="1"/>
  <c r="C77" i="15" s="1"/>
  <c r="A84" i="15"/>
  <c r="E83" i="15"/>
  <c r="D83" i="15"/>
  <c r="B83" i="15"/>
  <c r="F83" i="15" l="1"/>
  <c r="E84" i="15"/>
  <c r="B84" i="15"/>
  <c r="A85" i="15"/>
  <c r="D84" i="15"/>
  <c r="F84" i="15" s="1"/>
  <c r="H77" i="15"/>
  <c r="G77" i="15" s="1"/>
  <c r="I77" i="15" s="1"/>
  <c r="C78" i="15" s="1"/>
  <c r="E85" i="15" l="1"/>
  <c r="D85" i="15"/>
  <c r="F85" i="15" s="1"/>
  <c r="B85" i="15"/>
  <c r="A86" i="15"/>
  <c r="H78" i="15"/>
  <c r="G78" i="15" s="1"/>
  <c r="I78" i="15" s="1"/>
  <c r="C79" i="15" s="1"/>
  <c r="H79" i="15" l="1"/>
  <c r="G79" i="15" s="1"/>
  <c r="I79" i="15" s="1"/>
  <c r="C80" i="15" s="1"/>
  <c r="E86" i="15"/>
  <c r="D86" i="15"/>
  <c r="F86" i="15" s="1"/>
  <c r="A87" i="15"/>
  <c r="B86" i="15"/>
  <c r="H80" i="15" l="1"/>
  <c r="G80" i="15" s="1"/>
  <c r="I80" i="15" s="1"/>
  <c r="C81" i="15" s="1"/>
  <c r="D87" i="15"/>
  <c r="A88" i="15"/>
  <c r="B87" i="15"/>
  <c r="E87" i="15"/>
  <c r="F87" i="15" s="1"/>
  <c r="H81" i="15" l="1"/>
  <c r="G81" i="15" s="1"/>
  <c r="I81" i="15" s="1"/>
  <c r="C82" i="15" s="1"/>
  <c r="A89" i="15"/>
  <c r="B88" i="15"/>
  <c r="E88" i="15"/>
  <c r="D88" i="15"/>
  <c r="F88" i="15" l="1"/>
  <c r="H82" i="15"/>
  <c r="G82" i="15" s="1"/>
  <c r="I82" i="15" s="1"/>
  <c r="C83" i="15" s="1"/>
  <c r="A90" i="15"/>
  <c r="B89" i="15"/>
  <c r="E89" i="15"/>
  <c r="D89" i="15"/>
  <c r="F89" i="15" l="1"/>
  <c r="H83" i="15"/>
  <c r="G83" i="15" s="1"/>
  <c r="I83" i="15" s="1"/>
  <c r="C84" i="15" s="1"/>
  <c r="A91" i="15"/>
  <c r="D90" i="15"/>
  <c r="B90" i="15"/>
  <c r="E90" i="15"/>
  <c r="F90" i="15" s="1"/>
  <c r="D91" i="15" l="1"/>
  <c r="B91" i="15"/>
  <c r="A92" i="15"/>
  <c r="E91" i="15"/>
  <c r="F91" i="15" s="1"/>
  <c r="H84" i="15"/>
  <c r="G84" i="15" s="1"/>
  <c r="I84" i="15" s="1"/>
  <c r="C85" i="15" s="1"/>
  <c r="H85" i="15" l="1"/>
  <c r="G85" i="15" s="1"/>
  <c r="I85" i="15" s="1"/>
  <c r="C86" i="15" s="1"/>
  <c r="A93" i="15"/>
  <c r="E92" i="15"/>
  <c r="D92" i="15"/>
  <c r="F92" i="15" s="1"/>
  <c r="B92" i="15"/>
  <c r="H86" i="15" l="1"/>
  <c r="G86" i="15" s="1"/>
  <c r="I86" i="15"/>
  <c r="C87" i="15" s="1"/>
  <c r="A94" i="15"/>
  <c r="B93" i="15"/>
  <c r="D93" i="15"/>
  <c r="F93" i="15" s="1"/>
  <c r="E93" i="15"/>
  <c r="H87" i="15" l="1"/>
  <c r="G87" i="15" s="1"/>
  <c r="I87" i="15" s="1"/>
  <c r="C88" i="15" s="1"/>
  <c r="A95" i="15"/>
  <c r="E94" i="15"/>
  <c r="D94" i="15"/>
  <c r="B94" i="15"/>
  <c r="F94" i="15" l="1"/>
  <c r="A96" i="15"/>
  <c r="E95" i="15"/>
  <c r="B95" i="15"/>
  <c r="D95" i="15"/>
  <c r="H88" i="15"/>
  <c r="G88" i="15" s="1"/>
  <c r="I88" i="15" s="1"/>
  <c r="C89" i="15" s="1"/>
  <c r="F95" i="15" l="1"/>
  <c r="H89" i="15"/>
  <c r="G89" i="15" s="1"/>
  <c r="I89" i="15" s="1"/>
  <c r="C90" i="15" s="1"/>
  <c r="A97" i="15"/>
  <c r="B96" i="15"/>
  <c r="E96" i="15"/>
  <c r="D96" i="15"/>
  <c r="F96" i="15" l="1"/>
  <c r="H90" i="15"/>
  <c r="G90" i="15" s="1"/>
  <c r="I90" i="15" s="1"/>
  <c r="C91" i="15" s="1"/>
  <c r="B97" i="15"/>
  <c r="A98" i="15"/>
  <c r="E97" i="15"/>
  <c r="D97" i="15"/>
  <c r="F97" i="15" s="1"/>
  <c r="H91" i="15" l="1"/>
  <c r="G91" i="15" s="1"/>
  <c r="I91" i="15" s="1"/>
  <c r="C92" i="15" s="1"/>
  <c r="E98" i="15"/>
  <c r="B98" i="15"/>
  <c r="A99" i="15"/>
  <c r="D98" i="15"/>
  <c r="F98" i="15" s="1"/>
  <c r="H92" i="15" l="1"/>
  <c r="G92" i="15" s="1"/>
  <c r="I92" i="15" s="1"/>
  <c r="C93" i="15" s="1"/>
  <c r="D99" i="15"/>
  <c r="E99" i="15"/>
  <c r="B99" i="15"/>
  <c r="A100" i="15"/>
  <c r="F99" i="15" l="1"/>
  <c r="H93" i="15"/>
  <c r="G93" i="15" s="1"/>
  <c r="I93" i="15" s="1"/>
  <c r="C94" i="15" s="1"/>
  <c r="E100" i="15"/>
  <c r="D100" i="15"/>
  <c r="F100" i="15" s="1"/>
  <c r="B100" i="15"/>
  <c r="A101" i="15"/>
  <c r="H94" i="15" l="1"/>
  <c r="G94" i="15" s="1"/>
  <c r="I94" i="15" s="1"/>
  <c r="C95" i="15" s="1"/>
  <c r="E101" i="15"/>
  <c r="A102" i="15"/>
  <c r="B101" i="15"/>
  <c r="D101" i="15"/>
  <c r="F101" i="15" s="1"/>
  <c r="H95" i="15" l="1"/>
  <c r="G95" i="15" s="1"/>
  <c r="I95" i="15"/>
  <c r="C96" i="15" s="1"/>
  <c r="D102" i="15"/>
  <c r="A103" i="15"/>
  <c r="E102" i="15"/>
  <c r="F102" i="15" s="1"/>
  <c r="B102" i="15"/>
  <c r="H96" i="15" l="1"/>
  <c r="G96" i="15" s="1"/>
  <c r="I96" i="15" s="1"/>
  <c r="C97" i="15" s="1"/>
  <c r="A104" i="15"/>
  <c r="D103" i="15"/>
  <c r="E103" i="15"/>
  <c r="F103" i="15" s="1"/>
  <c r="B103" i="15"/>
  <c r="A105" i="15" l="1"/>
  <c r="B104" i="15"/>
  <c r="E104" i="15"/>
  <c r="D104" i="15"/>
  <c r="H97" i="15"/>
  <c r="G97" i="15" s="1"/>
  <c r="I97" i="15" s="1"/>
  <c r="C98" i="15" s="1"/>
  <c r="F104" i="15" l="1"/>
  <c r="H98" i="15"/>
  <c r="G98" i="15" s="1"/>
  <c r="I98" i="15" s="1"/>
  <c r="C99" i="15" s="1"/>
  <c r="D105" i="15"/>
  <c r="B105" i="15"/>
  <c r="A106" i="15"/>
  <c r="E105" i="15"/>
  <c r="F105" i="15" l="1"/>
  <c r="E106" i="15"/>
  <c r="D106" i="15"/>
  <c r="F106" i="15" s="1"/>
  <c r="B106" i="15"/>
  <c r="A107" i="15"/>
  <c r="H99" i="15"/>
  <c r="G99" i="15" s="1"/>
  <c r="I99" i="15" s="1"/>
  <c r="C100" i="15" s="1"/>
  <c r="H100" i="15" l="1"/>
  <c r="G100" i="15" s="1"/>
  <c r="I100" i="15" s="1"/>
  <c r="C101" i="15" s="1"/>
  <c r="D107" i="15"/>
  <c r="E107" i="15"/>
  <c r="F107" i="15" s="1"/>
  <c r="B107" i="15"/>
  <c r="A108" i="15"/>
  <c r="H101" i="15" l="1"/>
  <c r="G101" i="15" s="1"/>
  <c r="I101" i="15" s="1"/>
  <c r="C102" i="15" s="1"/>
  <c r="E108" i="15"/>
  <c r="A109" i="15"/>
  <c r="D108" i="15"/>
  <c r="F108" i="15" s="1"/>
  <c r="B108" i="15"/>
  <c r="H102" i="15" l="1"/>
  <c r="G102" i="15" s="1"/>
  <c r="I102" i="15" s="1"/>
  <c r="C103" i="15" s="1"/>
  <c r="E109" i="15"/>
  <c r="A110" i="15"/>
  <c r="B109" i="15"/>
  <c r="D109" i="15"/>
  <c r="F109" i="15" s="1"/>
  <c r="H103" i="15" l="1"/>
  <c r="G103" i="15" s="1"/>
  <c r="I103" i="15" s="1"/>
  <c r="C104" i="15" s="1"/>
  <c r="D110" i="15"/>
  <c r="A111" i="15"/>
  <c r="B110" i="15"/>
  <c r="E110" i="15"/>
  <c r="F110" i="15" l="1"/>
  <c r="H104" i="15"/>
  <c r="G104" i="15" s="1"/>
  <c r="I104" i="15" s="1"/>
  <c r="C105" i="15" s="1"/>
  <c r="E111" i="15"/>
  <c r="D111" i="15"/>
  <c r="F111" i="15" s="1"/>
  <c r="B111" i="15"/>
  <c r="A112" i="15"/>
  <c r="H105" i="15" l="1"/>
  <c r="G105" i="15" s="1"/>
  <c r="I105" i="15" s="1"/>
  <c r="C106" i="15" s="1"/>
  <c r="A113" i="15"/>
  <c r="B112" i="15"/>
  <c r="E112" i="15"/>
  <c r="D112" i="15"/>
  <c r="F112" i="15" l="1"/>
  <c r="H106" i="15"/>
  <c r="G106" i="15" s="1"/>
  <c r="I106" i="15" s="1"/>
  <c r="C107" i="15" s="1"/>
  <c r="A114" i="15"/>
  <c r="E113" i="15"/>
  <c r="D113" i="15"/>
  <c r="F113" i="15" s="1"/>
  <c r="B113" i="15"/>
  <c r="H107" i="15" l="1"/>
  <c r="G107" i="15" s="1"/>
  <c r="I107" i="15" s="1"/>
  <c r="C108" i="15" s="1"/>
  <c r="E114" i="15"/>
  <c r="B114" i="15"/>
  <c r="A115" i="15"/>
  <c r="D114" i="15"/>
  <c r="F114" i="15" l="1"/>
  <c r="H108" i="15"/>
  <c r="G108" i="15" s="1"/>
  <c r="I108" i="15" s="1"/>
  <c r="C109" i="15" s="1"/>
  <c r="E115" i="15"/>
  <c r="D115" i="15"/>
  <c r="F115" i="15" s="1"/>
  <c r="B115" i="15"/>
  <c r="A116" i="15"/>
  <c r="H109" i="15" l="1"/>
  <c r="G109" i="15" s="1"/>
  <c r="I109" i="15" s="1"/>
  <c r="C110" i="15" s="1"/>
  <c r="D116" i="15"/>
  <c r="A117" i="15"/>
  <c r="E116" i="15"/>
  <c r="B116" i="15"/>
  <c r="F116" i="15" l="1"/>
  <c r="H110" i="15"/>
  <c r="G110" i="15" s="1"/>
  <c r="I110" i="15" s="1"/>
  <c r="C111" i="15" s="1"/>
  <c r="E117" i="15"/>
  <c r="A118" i="15"/>
  <c r="B117" i="15"/>
  <c r="D117" i="15"/>
  <c r="F117" i="15" s="1"/>
  <c r="H111" i="15" l="1"/>
  <c r="G111" i="15" s="1"/>
  <c r="I111" i="15" s="1"/>
  <c r="C112" i="15" s="1"/>
  <c r="D118" i="15"/>
  <c r="A119" i="15"/>
  <c r="B118" i="15"/>
  <c r="E118" i="15"/>
  <c r="F118" i="15" s="1"/>
  <c r="H112" i="15" l="1"/>
  <c r="G112" i="15" s="1"/>
  <c r="I112" i="15" s="1"/>
  <c r="C113" i="15" s="1"/>
  <c r="A120" i="15"/>
  <c r="E119" i="15"/>
  <c r="D119" i="15"/>
  <c r="B119" i="15"/>
  <c r="F119" i="15" l="1"/>
  <c r="H113" i="15"/>
  <c r="G113" i="15" s="1"/>
  <c r="I113" i="15" s="1"/>
  <c r="C114" i="15" s="1"/>
  <c r="A121" i="15"/>
  <c r="B120" i="15"/>
  <c r="E120" i="15"/>
  <c r="D120" i="15"/>
  <c r="F120" i="15" l="1"/>
  <c r="H114" i="15"/>
  <c r="G114" i="15" s="1"/>
  <c r="I114" i="15" s="1"/>
  <c r="C115" i="15" s="1"/>
  <c r="D121" i="15"/>
  <c r="B121" i="15"/>
  <c r="A122" i="15"/>
  <c r="E121" i="15"/>
  <c r="F121" i="15" l="1"/>
  <c r="H115" i="15"/>
  <c r="G115" i="15" s="1"/>
  <c r="I115" i="15" s="1"/>
  <c r="C116" i="15" s="1"/>
  <c r="E122" i="15"/>
  <c r="D122" i="15"/>
  <c r="F122" i="15" s="1"/>
  <c r="A123" i="15"/>
  <c r="B122" i="15"/>
  <c r="H116" i="15" l="1"/>
  <c r="G116" i="15" s="1"/>
  <c r="I116" i="15" s="1"/>
  <c r="C117" i="15" s="1"/>
  <c r="E123" i="15"/>
  <c r="D123" i="15"/>
  <c r="A124" i="15"/>
  <c r="B123" i="15"/>
  <c r="F123" i="15" l="1"/>
  <c r="H117" i="15"/>
  <c r="G117" i="15" s="1"/>
  <c r="I117" i="15" s="1"/>
  <c r="C118" i="15" s="1"/>
  <c r="D124" i="15"/>
  <c r="B124" i="15"/>
  <c r="A125" i="15"/>
  <c r="E124" i="15"/>
  <c r="F124" i="15" l="1"/>
  <c r="H118" i="15"/>
  <c r="G118" i="15" s="1"/>
  <c r="I118" i="15" s="1"/>
  <c r="C119" i="15" s="1"/>
  <c r="E125" i="15"/>
  <c r="A126" i="15"/>
  <c r="B125" i="15"/>
  <c r="D125" i="15"/>
  <c r="F125" i="15" s="1"/>
  <c r="D126" i="15" l="1"/>
  <c r="A127" i="15"/>
  <c r="B126" i="15"/>
  <c r="E126" i="15"/>
  <c r="F126" i="15" s="1"/>
  <c r="H119" i="15"/>
  <c r="G119" i="15" s="1"/>
  <c r="I119" i="15" s="1"/>
  <c r="C120" i="15" s="1"/>
  <c r="H120" i="15" l="1"/>
  <c r="G120" i="15" s="1"/>
  <c r="I120" i="15" s="1"/>
  <c r="C121" i="15" s="1"/>
  <c r="B127" i="15"/>
  <c r="A128" i="15"/>
  <c r="E127" i="15"/>
  <c r="D127" i="15"/>
  <c r="F127" i="15" l="1"/>
  <c r="H121" i="15"/>
  <c r="G121" i="15" s="1"/>
  <c r="I121" i="15" s="1"/>
  <c r="C122" i="15" s="1"/>
  <c r="A129" i="15"/>
  <c r="B128" i="15"/>
  <c r="E128" i="15"/>
  <c r="D128" i="15"/>
  <c r="F128" i="15" s="1"/>
  <c r="H122" i="15" l="1"/>
  <c r="G122" i="15" s="1"/>
  <c r="I122" i="15" s="1"/>
  <c r="C123" i="15" s="1"/>
  <c r="A130" i="15"/>
  <c r="E129" i="15"/>
  <c r="D129" i="15"/>
  <c r="B129" i="15"/>
  <c r="F129" i="15" l="1"/>
  <c r="E130" i="15"/>
  <c r="A131" i="15"/>
  <c r="B130" i="15"/>
  <c r="D130" i="15"/>
  <c r="F130" i="15" s="1"/>
  <c r="H123" i="15"/>
  <c r="G123" i="15" s="1"/>
  <c r="I123" i="15" s="1"/>
  <c r="C124" i="15" s="1"/>
  <c r="H124" i="15" l="1"/>
  <c r="G124" i="15" s="1"/>
  <c r="I124" i="15" s="1"/>
  <c r="C125" i="15" s="1"/>
  <c r="E131" i="15"/>
  <c r="D131" i="15"/>
  <c r="F131" i="15" s="1"/>
  <c r="B131" i="15"/>
  <c r="A132" i="15"/>
  <c r="H125" i="15" l="1"/>
  <c r="G125" i="15" s="1"/>
  <c r="I125" i="15" s="1"/>
  <c r="C126" i="15" s="1"/>
  <c r="D132" i="15"/>
  <c r="E132" i="15"/>
  <c r="B132" i="15"/>
  <c r="A133" i="15"/>
  <c r="F132" i="15" l="1"/>
  <c r="H126" i="15"/>
  <c r="G126" i="15" s="1"/>
  <c r="I126" i="15" s="1"/>
  <c r="C127" i="15" s="1"/>
  <c r="E133" i="15"/>
  <c r="A134" i="15"/>
  <c r="B133" i="15"/>
  <c r="D133" i="15"/>
  <c r="F133" i="15" s="1"/>
  <c r="H127" i="15" l="1"/>
  <c r="G127" i="15" s="1"/>
  <c r="I127" i="15" s="1"/>
  <c r="C128" i="15" s="1"/>
  <c r="D134" i="15"/>
  <c r="A135" i="15"/>
  <c r="B134" i="15"/>
  <c r="E134" i="15"/>
  <c r="F134" i="15" l="1"/>
  <c r="H128" i="15"/>
  <c r="G128" i="15" s="1"/>
  <c r="I128" i="15" s="1"/>
  <c r="C129" i="15" s="1"/>
  <c r="E135" i="15"/>
  <c r="D135" i="15"/>
  <c r="B135" i="15"/>
  <c r="A136" i="15"/>
  <c r="F135" i="15" l="1"/>
  <c r="H129" i="15"/>
  <c r="G129" i="15" s="1"/>
  <c r="I129" i="15" s="1"/>
  <c r="C130" i="15" s="1"/>
  <c r="A137" i="15"/>
  <c r="B136" i="15"/>
  <c r="E136" i="15"/>
  <c r="D136" i="15"/>
  <c r="F136" i="15" s="1"/>
  <c r="H130" i="15" l="1"/>
  <c r="G130" i="15" s="1"/>
  <c r="I130" i="15"/>
  <c r="C131" i="15" s="1"/>
  <c r="B137" i="15"/>
  <c r="A138" i="15"/>
  <c r="E137" i="15"/>
  <c r="D137" i="15"/>
  <c r="F137" i="15" s="1"/>
  <c r="H131" i="15" l="1"/>
  <c r="G131" i="15" s="1"/>
  <c r="I131" i="15" s="1"/>
  <c r="C132" i="15" s="1"/>
  <c r="E138" i="15"/>
  <c r="D138" i="15"/>
  <c r="B138" i="15"/>
  <c r="A139" i="15"/>
  <c r="F138" i="15" l="1"/>
  <c r="H132" i="15"/>
  <c r="G132" i="15" s="1"/>
  <c r="I132" i="15" s="1"/>
  <c r="C133" i="15" s="1"/>
  <c r="E139" i="15"/>
  <c r="D139" i="15"/>
  <c r="F139" i="15" s="1"/>
  <c r="A140" i="15"/>
  <c r="B139" i="15"/>
  <c r="H133" i="15" l="1"/>
  <c r="G133" i="15" s="1"/>
  <c r="I133" i="15" s="1"/>
  <c r="C134" i="15" s="1"/>
  <c r="D140" i="15"/>
  <c r="A141" i="15"/>
  <c r="E140" i="15"/>
  <c r="B140" i="15"/>
  <c r="F140" i="15" l="1"/>
  <c r="H134" i="15"/>
  <c r="G134" i="15" s="1"/>
  <c r="I134" i="15" s="1"/>
  <c r="C135" i="15" s="1"/>
  <c r="E141" i="15"/>
  <c r="A142" i="15"/>
  <c r="B141" i="15"/>
  <c r="D141" i="15"/>
  <c r="F141" i="15" s="1"/>
  <c r="H135" i="15" l="1"/>
  <c r="G135" i="15" s="1"/>
  <c r="I135" i="15" s="1"/>
  <c r="C136" i="15" s="1"/>
  <c r="D142" i="15"/>
  <c r="A143" i="15"/>
  <c r="B142" i="15"/>
  <c r="E142" i="15"/>
  <c r="F142" i="15" l="1"/>
  <c r="H136" i="15"/>
  <c r="G136" i="15" s="1"/>
  <c r="I136" i="15" s="1"/>
  <c r="C137" i="15" s="1"/>
  <c r="D143" i="15"/>
  <c r="E143" i="15"/>
  <c r="B143" i="15"/>
  <c r="A144" i="15"/>
  <c r="F143" i="15" l="1"/>
  <c r="H137" i="15"/>
  <c r="G137" i="15" s="1"/>
  <c r="I137" i="15" s="1"/>
  <c r="C138" i="15" s="1"/>
  <c r="A145" i="15"/>
  <c r="B144" i="15"/>
  <c r="E144" i="15"/>
  <c r="D144" i="15"/>
  <c r="F144" i="15" l="1"/>
  <c r="H138" i="15"/>
  <c r="G138" i="15" s="1"/>
  <c r="I138" i="15" s="1"/>
  <c r="C139" i="15" s="1"/>
  <c r="A146" i="15"/>
  <c r="B145" i="15"/>
  <c r="E145" i="15"/>
  <c r="D145" i="15"/>
  <c r="F145" i="15" s="1"/>
  <c r="H139" i="15" l="1"/>
  <c r="G139" i="15" s="1"/>
  <c r="I139" i="15" s="1"/>
  <c r="C140" i="15" s="1"/>
  <c r="E146" i="15"/>
  <c r="A147" i="15"/>
  <c r="D146" i="15"/>
  <c r="B146" i="15"/>
  <c r="F146" i="15" l="1"/>
  <c r="H140" i="15"/>
  <c r="G140" i="15" s="1"/>
  <c r="I140" i="15" s="1"/>
  <c r="C141" i="15" s="1"/>
  <c r="E147" i="15"/>
  <c r="D147" i="15"/>
  <c r="F147" i="15" s="1"/>
  <c r="A148" i="15"/>
  <c r="B147" i="15"/>
  <c r="H141" i="15" l="1"/>
  <c r="G141" i="15" s="1"/>
  <c r="I141" i="15" s="1"/>
  <c r="C142" i="15" s="1"/>
  <c r="D148" i="15"/>
  <c r="E148" i="15"/>
  <c r="B148" i="15"/>
  <c r="A149" i="15"/>
  <c r="F148" i="15" l="1"/>
  <c r="H142" i="15"/>
  <c r="G142" i="15" s="1"/>
  <c r="I142" i="15" s="1"/>
  <c r="C143" i="15" s="1"/>
  <c r="E149" i="15"/>
  <c r="A150" i="15"/>
  <c r="B149" i="15"/>
  <c r="D149" i="15"/>
  <c r="F149" i="15" s="1"/>
  <c r="H143" i="15" l="1"/>
  <c r="G143" i="15" s="1"/>
  <c r="I143" i="15" s="1"/>
  <c r="C144" i="15" s="1"/>
  <c r="D150" i="15"/>
  <c r="A151" i="15"/>
  <c r="B150" i="15"/>
  <c r="E150" i="15"/>
  <c r="F150" i="15" l="1"/>
  <c r="H144" i="15"/>
  <c r="G144" i="15" s="1"/>
  <c r="I144" i="15" s="1"/>
  <c r="C145" i="15" s="1"/>
  <c r="D151" i="15"/>
  <c r="A152" i="15"/>
  <c r="E151" i="15"/>
  <c r="B151" i="15"/>
  <c r="F151" i="15" l="1"/>
  <c r="H145" i="15"/>
  <c r="G145" i="15" s="1"/>
  <c r="I145" i="15" s="1"/>
  <c r="C146" i="15" s="1"/>
  <c r="A153" i="15"/>
  <c r="B152" i="15"/>
  <c r="D152" i="15"/>
  <c r="E152" i="15"/>
  <c r="F152" i="15" l="1"/>
  <c r="H146" i="15"/>
  <c r="G146" i="15" s="1"/>
  <c r="I146" i="15" s="1"/>
  <c r="C147" i="15" s="1"/>
  <c r="A154" i="15"/>
  <c r="B153" i="15"/>
  <c r="E153" i="15"/>
  <c r="D153" i="15"/>
  <c r="F153" i="15" l="1"/>
  <c r="E154" i="15"/>
  <c r="B154" i="15"/>
  <c r="A155" i="15"/>
  <c r="D154" i="15"/>
  <c r="F154" i="15" s="1"/>
  <c r="H147" i="15"/>
  <c r="G147" i="15" s="1"/>
  <c r="I147" i="15" s="1"/>
  <c r="C148" i="15" s="1"/>
  <c r="E155" i="15" l="1"/>
  <c r="D155" i="15"/>
  <c r="F155" i="15" s="1"/>
  <c r="B155" i="15"/>
  <c r="A156" i="15"/>
  <c r="H148" i="15"/>
  <c r="G148" i="15" s="1"/>
  <c r="I148" i="15" s="1"/>
  <c r="C149" i="15" s="1"/>
  <c r="H149" i="15" l="1"/>
  <c r="G149" i="15" s="1"/>
  <c r="I149" i="15" s="1"/>
  <c r="C150" i="15" s="1"/>
  <c r="D156" i="15"/>
  <c r="A157" i="15"/>
  <c r="B156" i="15"/>
  <c r="E156" i="15"/>
  <c r="F156" i="15" l="1"/>
  <c r="H150" i="15"/>
  <c r="G150" i="15" s="1"/>
  <c r="I150" i="15" s="1"/>
  <c r="C151" i="15" s="1"/>
  <c r="E157" i="15"/>
  <c r="A158" i="15"/>
  <c r="B157" i="15"/>
  <c r="D157" i="15"/>
  <c r="F157" i="15" s="1"/>
  <c r="D158" i="15" l="1"/>
  <c r="A159" i="15"/>
  <c r="B158" i="15"/>
  <c r="E158" i="15"/>
  <c r="H151" i="15"/>
  <c r="G151" i="15" s="1"/>
  <c r="I151" i="15" s="1"/>
  <c r="C152" i="15" s="1"/>
  <c r="F158" i="15" l="1"/>
  <c r="H152" i="15"/>
  <c r="G152" i="15" s="1"/>
  <c r="I152" i="15" s="1"/>
  <c r="C153" i="15" s="1"/>
  <c r="D159" i="15"/>
  <c r="E159" i="15"/>
  <c r="B159" i="15"/>
  <c r="A160" i="15"/>
  <c r="F159" i="15" l="1"/>
  <c r="H153" i="15"/>
  <c r="G153" i="15" s="1"/>
  <c r="I153" i="15" s="1"/>
  <c r="C154" i="15" s="1"/>
  <c r="A161" i="15"/>
  <c r="B160" i="15"/>
  <c r="E160" i="15"/>
  <c r="D160" i="15"/>
  <c r="F160" i="15" l="1"/>
  <c r="A162" i="15"/>
  <c r="B161" i="15"/>
  <c r="E161" i="15"/>
  <c r="D161" i="15"/>
  <c r="F161" i="15" s="1"/>
  <c r="H154" i="15"/>
  <c r="G154" i="15" s="1"/>
  <c r="I154" i="15" s="1"/>
  <c r="C155" i="15" s="1"/>
  <c r="H155" i="15" l="1"/>
  <c r="G155" i="15" s="1"/>
  <c r="I155" i="15" s="1"/>
  <c r="C156" i="15" s="1"/>
  <c r="E162" i="15"/>
  <c r="A163" i="15"/>
  <c r="D162" i="15"/>
  <c r="B162" i="15"/>
  <c r="F162" i="15" l="1"/>
  <c r="H156" i="15"/>
  <c r="G156" i="15" s="1"/>
  <c r="I156" i="15" s="1"/>
  <c r="C157" i="15" s="1"/>
  <c r="E163" i="15"/>
  <c r="D163" i="15"/>
  <c r="A164" i="15"/>
  <c r="B163" i="15"/>
  <c r="F163" i="15" l="1"/>
  <c r="H157" i="15"/>
  <c r="G157" i="15" s="1"/>
  <c r="I157" i="15" s="1"/>
  <c r="C158" i="15" s="1"/>
  <c r="D164" i="15"/>
  <c r="E164" i="15"/>
  <c r="B164" i="15"/>
  <c r="A165" i="15"/>
  <c r="F164" i="15" l="1"/>
  <c r="H158" i="15"/>
  <c r="G158" i="15" s="1"/>
  <c r="I158" i="15" s="1"/>
  <c r="C159" i="15" s="1"/>
  <c r="E165" i="15"/>
  <c r="A166" i="15"/>
  <c r="B165" i="15"/>
  <c r="D165" i="15"/>
  <c r="F165" i="15" l="1"/>
  <c r="H159" i="15"/>
  <c r="G159" i="15" s="1"/>
  <c r="I159" i="15" s="1"/>
  <c r="C160" i="15" s="1"/>
  <c r="D166" i="15"/>
  <c r="A167" i="15"/>
  <c r="B166" i="15"/>
  <c r="E166" i="15"/>
  <c r="F166" i="15" l="1"/>
  <c r="H160" i="15"/>
  <c r="G160" i="15" s="1"/>
  <c r="I160" i="15" s="1"/>
  <c r="C161" i="15" s="1"/>
  <c r="D167" i="15"/>
  <c r="A168" i="15"/>
  <c r="E167" i="15"/>
  <c r="B167" i="15"/>
  <c r="F167" i="15" l="1"/>
  <c r="H161" i="15"/>
  <c r="G161" i="15" s="1"/>
  <c r="I161" i="15" s="1"/>
  <c r="C162" i="15" s="1"/>
  <c r="A169" i="15"/>
  <c r="B168" i="15"/>
  <c r="D168" i="15"/>
  <c r="E168" i="15"/>
  <c r="F168" i="15" s="1"/>
  <c r="A170" i="15" l="1"/>
  <c r="B169" i="15"/>
  <c r="E169" i="15"/>
  <c r="D169" i="15"/>
  <c r="H162" i="15"/>
  <c r="G162" i="15" s="1"/>
  <c r="I162" i="15" s="1"/>
  <c r="C163" i="15" s="1"/>
  <c r="F169" i="15" l="1"/>
  <c r="E170" i="15"/>
  <c r="B170" i="15"/>
  <c r="D170" i="15"/>
  <c r="F170" i="15" s="1"/>
  <c r="A171" i="15"/>
  <c r="H163" i="15"/>
  <c r="G163" i="15" s="1"/>
  <c r="I163" i="15" s="1"/>
  <c r="C164" i="15" s="1"/>
  <c r="H164" i="15" l="1"/>
  <c r="G164" i="15" s="1"/>
  <c r="I164" i="15" s="1"/>
  <c r="C165" i="15" s="1"/>
  <c r="E171" i="15"/>
  <c r="D171" i="15"/>
  <c r="F171" i="15" s="1"/>
  <c r="B171" i="15"/>
  <c r="A172" i="15"/>
  <c r="H165" i="15" l="1"/>
  <c r="G165" i="15" s="1"/>
  <c r="I165" i="15"/>
  <c r="C166" i="15" s="1"/>
  <c r="D172" i="15"/>
  <c r="A173" i="15"/>
  <c r="E172" i="15"/>
  <c r="B172" i="15"/>
  <c r="F172" i="15" l="1"/>
  <c r="E173" i="15"/>
  <c r="A174" i="15"/>
  <c r="B173" i="15"/>
  <c r="D173" i="15"/>
  <c r="F173" i="15" s="1"/>
  <c r="H166" i="15"/>
  <c r="G166" i="15" s="1"/>
  <c r="I166" i="15" s="1"/>
  <c r="C167" i="15" s="1"/>
  <c r="H167" i="15" l="1"/>
  <c r="G167" i="15" s="1"/>
  <c r="I167" i="15" s="1"/>
  <c r="C168" i="15" s="1"/>
  <c r="D174" i="15"/>
  <c r="A175" i="15"/>
  <c r="B174" i="15"/>
  <c r="E174" i="15"/>
  <c r="F174" i="15" l="1"/>
  <c r="H168" i="15"/>
  <c r="G168" i="15" s="1"/>
  <c r="I168" i="15" s="1"/>
  <c r="C169" i="15" s="1"/>
  <c r="D175" i="15"/>
  <c r="E175" i="15"/>
  <c r="B175" i="15"/>
  <c r="A176" i="15"/>
  <c r="F175" i="15" l="1"/>
  <c r="H169" i="15"/>
  <c r="G169" i="15" s="1"/>
  <c r="I169" i="15" s="1"/>
  <c r="C170" i="15" s="1"/>
  <c r="A177" i="15"/>
  <c r="B176" i="15"/>
  <c r="E176" i="15"/>
  <c r="D176" i="15"/>
  <c r="F176" i="15" s="1"/>
  <c r="H170" i="15" l="1"/>
  <c r="G170" i="15" s="1"/>
  <c r="I170" i="15" s="1"/>
  <c r="C171" i="15" s="1"/>
  <c r="A178" i="15"/>
  <c r="B177" i="15"/>
  <c r="E177" i="15"/>
  <c r="D177" i="15"/>
  <c r="F177" i="15" s="1"/>
  <c r="H171" i="15" l="1"/>
  <c r="G171" i="15" s="1"/>
  <c r="I171" i="15" s="1"/>
  <c r="C172" i="15" s="1"/>
  <c r="E178" i="15"/>
  <c r="A179" i="15"/>
  <c r="D178" i="15"/>
  <c r="B178" i="15"/>
  <c r="F178" i="15" l="1"/>
  <c r="H172" i="15"/>
  <c r="G172" i="15" s="1"/>
  <c r="I172" i="15" s="1"/>
  <c r="C173" i="15" s="1"/>
  <c r="E179" i="15"/>
  <c r="D179" i="15"/>
  <c r="F179" i="15" s="1"/>
  <c r="A180" i="15"/>
  <c r="B179" i="15"/>
  <c r="H173" i="15" l="1"/>
  <c r="G173" i="15" s="1"/>
  <c r="I173" i="15" s="1"/>
  <c r="C174" i="15" s="1"/>
  <c r="E180" i="15"/>
  <c r="D180" i="15"/>
  <c r="F180" i="15" s="1"/>
  <c r="A181" i="15"/>
  <c r="B180" i="15"/>
  <c r="H174" i="15" l="1"/>
  <c r="G174" i="15" s="1"/>
  <c r="I174" i="15" s="1"/>
  <c r="C175" i="15" s="1"/>
  <c r="E181" i="15"/>
  <c r="D181" i="15"/>
  <c r="F181" i="15" s="1"/>
  <c r="A182" i="15"/>
  <c r="B181" i="15"/>
  <c r="H175" i="15" l="1"/>
  <c r="G175" i="15" s="1"/>
  <c r="I175" i="15" s="1"/>
  <c r="C176" i="15" s="1"/>
  <c r="D182" i="15"/>
  <c r="A183" i="15"/>
  <c r="E182" i="15"/>
  <c r="B182" i="15"/>
  <c r="F182" i="15" l="1"/>
  <c r="H176" i="15"/>
  <c r="G176" i="15" s="1"/>
  <c r="I176" i="15" s="1"/>
  <c r="C177" i="15" s="1"/>
  <c r="E183" i="15"/>
  <c r="B183" i="15"/>
  <c r="D183" i="15"/>
  <c r="F183" i="15" s="1"/>
  <c r="A184" i="15"/>
  <c r="H177" i="15" l="1"/>
  <c r="G177" i="15" s="1"/>
  <c r="I177" i="15" s="1"/>
  <c r="C178" i="15" s="1"/>
  <c r="D184" i="15"/>
  <c r="A185" i="15"/>
  <c r="B184" i="15"/>
  <c r="E184" i="15"/>
  <c r="F184" i="15" l="1"/>
  <c r="H178" i="15"/>
  <c r="G178" i="15" s="1"/>
  <c r="I178" i="15" s="1"/>
  <c r="C179" i="15" s="1"/>
  <c r="E185" i="15"/>
  <c r="B185" i="15"/>
  <c r="D185" i="15"/>
  <c r="A186" i="15"/>
  <c r="F185" i="15" l="1"/>
  <c r="H179" i="15"/>
  <c r="G179" i="15" s="1"/>
  <c r="I179" i="15" s="1"/>
  <c r="C180" i="15" s="1"/>
  <c r="A187" i="15"/>
  <c r="B186" i="15"/>
  <c r="D186" i="15"/>
  <c r="E186" i="15"/>
  <c r="F186" i="15" l="1"/>
  <c r="H180" i="15"/>
  <c r="G180" i="15" s="1"/>
  <c r="I180" i="15" s="1"/>
  <c r="C181" i="15" s="1"/>
  <c r="E187" i="15"/>
  <c r="D187" i="15"/>
  <c r="A188" i="15"/>
  <c r="B187" i="15"/>
  <c r="F187" i="15" l="1"/>
  <c r="H181" i="15"/>
  <c r="G181" i="15" s="1"/>
  <c r="I181" i="15" s="1"/>
  <c r="C182" i="15" s="1"/>
  <c r="A189" i="15"/>
  <c r="E188" i="15"/>
  <c r="B188" i="15"/>
  <c r="D188" i="15"/>
  <c r="F188" i="15" l="1"/>
  <c r="H182" i="15"/>
  <c r="G182" i="15" s="1"/>
  <c r="I182" i="15" s="1"/>
  <c r="C183" i="15" s="1"/>
  <c r="E189" i="15"/>
  <c r="B189" i="15"/>
  <c r="A190" i="15"/>
  <c r="D189" i="15"/>
  <c r="F189" i="15" s="1"/>
  <c r="H183" i="15" l="1"/>
  <c r="G183" i="15" s="1"/>
  <c r="I183" i="15" s="1"/>
  <c r="C184" i="15" s="1"/>
  <c r="D190" i="15"/>
  <c r="B190" i="15"/>
  <c r="A191" i="15"/>
  <c r="E190" i="15"/>
  <c r="F190" i="15" l="1"/>
  <c r="H184" i="15"/>
  <c r="G184" i="15" s="1"/>
  <c r="I184" i="15" s="1"/>
  <c r="C185" i="15" s="1"/>
  <c r="E191" i="15"/>
  <c r="B191" i="15"/>
  <c r="A192" i="15"/>
  <c r="D191" i="15"/>
  <c r="F191" i="15" l="1"/>
  <c r="H185" i="15"/>
  <c r="G185" i="15" s="1"/>
  <c r="I185" i="15" s="1"/>
  <c r="C186" i="15" s="1"/>
  <c r="E192" i="15"/>
  <c r="D192" i="15"/>
  <c r="F192" i="15" s="1"/>
  <c r="A193" i="15"/>
  <c r="B192" i="15"/>
  <c r="D193" i="15" l="1"/>
  <c r="A194" i="15"/>
  <c r="B193" i="15"/>
  <c r="E193" i="15"/>
  <c r="H186" i="15"/>
  <c r="G186" i="15" s="1"/>
  <c r="I186" i="15" s="1"/>
  <c r="C187" i="15" s="1"/>
  <c r="F193" i="15" l="1"/>
  <c r="H187" i="15"/>
  <c r="G187" i="15" s="1"/>
  <c r="I187" i="15" s="1"/>
  <c r="C188" i="15" s="1"/>
  <c r="A195" i="15"/>
  <c r="B194" i="15"/>
  <c r="E194" i="15"/>
  <c r="D194" i="15"/>
  <c r="F194" i="15" l="1"/>
  <c r="A196" i="15"/>
  <c r="B195" i="15"/>
  <c r="E195" i="15"/>
  <c r="D195" i="15"/>
  <c r="H188" i="15"/>
  <c r="G188" i="15" s="1"/>
  <c r="I188" i="15" s="1"/>
  <c r="C189" i="15" s="1"/>
  <c r="F195" i="15" l="1"/>
  <c r="H189" i="15"/>
  <c r="G189" i="15" s="1"/>
  <c r="I189" i="15" s="1"/>
  <c r="C190" i="15" s="1"/>
  <c r="E196" i="15"/>
  <c r="B196" i="15"/>
  <c r="A197" i="15"/>
  <c r="D196" i="15"/>
  <c r="F196" i="15" l="1"/>
  <c r="H190" i="15"/>
  <c r="G190" i="15" s="1"/>
  <c r="I190" i="15" s="1"/>
  <c r="C191" i="15" s="1"/>
  <c r="E197" i="15"/>
  <c r="A198" i="15"/>
  <c r="B197" i="15"/>
  <c r="D197" i="15"/>
  <c r="F197" i="15" l="1"/>
  <c r="H191" i="15"/>
  <c r="G191" i="15" s="1"/>
  <c r="I191" i="15" s="1"/>
  <c r="C192" i="15" s="1"/>
  <c r="E198" i="15"/>
  <c r="D198" i="15"/>
  <c r="F198" i="15" s="1"/>
  <c r="A199" i="15"/>
  <c r="B198" i="15"/>
  <c r="H192" i="15" l="1"/>
  <c r="G192" i="15" s="1"/>
  <c r="I192" i="15" s="1"/>
  <c r="C193" i="15" s="1"/>
  <c r="E199" i="15"/>
  <c r="D199" i="15"/>
  <c r="A200" i="15"/>
  <c r="B199" i="15"/>
  <c r="F199" i="15" l="1"/>
  <c r="H193" i="15"/>
  <c r="G193" i="15" s="1"/>
  <c r="I193" i="15" s="1"/>
  <c r="C194" i="15" s="1"/>
  <c r="E200" i="15"/>
  <c r="D200" i="15"/>
  <c r="A201" i="15"/>
  <c r="B200" i="15"/>
  <c r="F200" i="15"/>
  <c r="H194" i="15" l="1"/>
  <c r="G194" i="15" s="1"/>
  <c r="I194" i="15" s="1"/>
  <c r="C195" i="15" s="1"/>
  <c r="D201" i="15"/>
  <c r="A202" i="15"/>
  <c r="B201" i="15"/>
  <c r="E201" i="15"/>
  <c r="F201" i="15" l="1"/>
  <c r="H195" i="15"/>
  <c r="G195" i="15" s="1"/>
  <c r="I195" i="15" s="1"/>
  <c r="C196" i="15" s="1"/>
  <c r="A203" i="15"/>
  <c r="B202" i="15"/>
  <c r="D202" i="15"/>
  <c r="E202" i="15"/>
  <c r="F202" i="15" l="1"/>
  <c r="H196" i="15"/>
  <c r="G196" i="15" s="1"/>
  <c r="I196" i="15" s="1"/>
  <c r="C197" i="15" s="1"/>
  <c r="A204" i="15"/>
  <c r="B203" i="15"/>
  <c r="D203" i="15"/>
  <c r="E203" i="15"/>
  <c r="F203" i="15" l="1"/>
  <c r="H197" i="15"/>
  <c r="G197" i="15" s="1"/>
  <c r="I197" i="15" s="1"/>
  <c r="C198" i="15" s="1"/>
  <c r="A205" i="15"/>
  <c r="B204" i="15"/>
  <c r="E204" i="15"/>
  <c r="D204" i="15"/>
  <c r="F204" i="15" s="1"/>
  <c r="H198" i="15" l="1"/>
  <c r="G198" i="15" s="1"/>
  <c r="I198" i="15" s="1"/>
  <c r="C199" i="15" s="1"/>
  <c r="E205" i="15"/>
  <c r="D205" i="15"/>
  <c r="F205" i="15" s="1"/>
  <c r="B205" i="15"/>
  <c r="A206" i="15"/>
  <c r="H199" i="15" l="1"/>
  <c r="G199" i="15" s="1"/>
  <c r="I199" i="15" s="1"/>
  <c r="C200" i="15" s="1"/>
  <c r="E206" i="15"/>
  <c r="D206" i="15"/>
  <c r="A207" i="15"/>
  <c r="B206" i="15"/>
  <c r="F206" i="15" l="1"/>
  <c r="H200" i="15"/>
  <c r="G200" i="15" s="1"/>
  <c r="I200" i="15" s="1"/>
  <c r="C201" i="15" s="1"/>
  <c r="E207" i="15"/>
  <c r="D207" i="15"/>
  <c r="F207" i="15" s="1"/>
  <c r="B207" i="15"/>
  <c r="A208" i="15"/>
  <c r="H201" i="15" l="1"/>
  <c r="G201" i="15" s="1"/>
  <c r="I201" i="15" s="1"/>
  <c r="C202" i="15" s="1"/>
  <c r="E208" i="15"/>
  <c r="D208" i="15"/>
  <c r="A209" i="15"/>
  <c r="B208" i="15"/>
  <c r="F208" i="15" l="1"/>
  <c r="H202" i="15"/>
  <c r="G202" i="15" s="1"/>
  <c r="I202" i="15" s="1"/>
  <c r="C203" i="15" s="1"/>
  <c r="D209" i="15"/>
  <c r="A210" i="15"/>
  <c r="B209" i="15"/>
  <c r="E209" i="15"/>
  <c r="F209" i="15" s="1"/>
  <c r="H203" i="15" l="1"/>
  <c r="G203" i="15" s="1"/>
  <c r="I203" i="15" s="1"/>
  <c r="C204" i="15" s="1"/>
  <c r="A211" i="15"/>
  <c r="B210" i="15"/>
  <c r="E210" i="15"/>
  <c r="D210" i="15"/>
  <c r="F210" i="15" s="1"/>
  <c r="H204" i="15" l="1"/>
  <c r="G204" i="15" s="1"/>
  <c r="I204" i="15" s="1"/>
  <c r="C205" i="15" s="1"/>
  <c r="A212" i="15"/>
  <c r="B211" i="15"/>
  <c r="D211" i="15"/>
  <c r="E211" i="15"/>
  <c r="F211" i="15" l="1"/>
  <c r="H205" i="15"/>
  <c r="G205" i="15" s="1"/>
  <c r="I205" i="15" s="1"/>
  <c r="C206" i="15" s="1"/>
  <c r="E212" i="15"/>
  <c r="B212" i="15"/>
  <c r="A213" i="15"/>
  <c r="D212" i="15"/>
  <c r="F212" i="15" s="1"/>
  <c r="H206" i="15" l="1"/>
  <c r="G206" i="15" s="1"/>
  <c r="I206" i="15" s="1"/>
  <c r="C207" i="15" s="1"/>
  <c r="E213" i="15"/>
  <c r="A214" i="15"/>
  <c r="D213" i="15"/>
  <c r="B213" i="15"/>
  <c r="F213" i="15" l="1"/>
  <c r="H207" i="15"/>
  <c r="G207" i="15" s="1"/>
  <c r="I207" i="15" s="1"/>
  <c r="C208" i="15" s="1"/>
  <c r="E214" i="15"/>
  <c r="D214" i="15"/>
  <c r="B214" i="15"/>
  <c r="A215" i="15"/>
  <c r="F214" i="15" l="1"/>
  <c r="H208" i="15"/>
  <c r="G208" i="15" s="1"/>
  <c r="I208" i="15" s="1"/>
  <c r="C209" i="15" s="1"/>
  <c r="E215" i="15"/>
  <c r="D215" i="15"/>
  <c r="A216" i="15"/>
  <c r="B215" i="15"/>
  <c r="F215" i="15" l="1"/>
  <c r="H209" i="15"/>
  <c r="G209" i="15" s="1"/>
  <c r="I209" i="15" s="1"/>
  <c r="C210" i="15" s="1"/>
  <c r="E216" i="15"/>
  <c r="D216" i="15"/>
  <c r="B216" i="15"/>
  <c r="A217" i="15"/>
  <c r="F216" i="15" l="1"/>
  <c r="H210" i="15"/>
  <c r="G210" i="15" s="1"/>
  <c r="I210" i="15" s="1"/>
  <c r="C211" i="15" s="1"/>
  <c r="D217" i="15"/>
  <c r="E217" i="15"/>
  <c r="B217" i="15"/>
  <c r="A218" i="15"/>
  <c r="F217" i="15" l="1"/>
  <c r="H211" i="15"/>
  <c r="G211" i="15" s="1"/>
  <c r="I211" i="15" s="1"/>
  <c r="C212" i="15" s="1"/>
  <c r="A219" i="15"/>
  <c r="E218" i="15"/>
  <c r="D218" i="15"/>
  <c r="B218" i="15"/>
  <c r="F218" i="15" l="1"/>
  <c r="H212" i="15"/>
  <c r="G212" i="15" s="1"/>
  <c r="I212" i="15" s="1"/>
  <c r="C213" i="15" s="1"/>
  <c r="A220" i="15"/>
  <c r="B219" i="15"/>
  <c r="E219" i="15"/>
  <c r="D219" i="15"/>
  <c r="F219" i="15" l="1"/>
  <c r="H213" i="15"/>
  <c r="G213" i="15" s="1"/>
  <c r="I213" i="15" s="1"/>
  <c r="C214" i="15" s="1"/>
  <c r="A221" i="15"/>
  <c r="E220" i="15"/>
  <c r="D220" i="15"/>
  <c r="B220" i="15"/>
  <c r="F220" i="15" l="1"/>
  <c r="A222" i="15"/>
  <c r="B221" i="15"/>
  <c r="E221" i="15"/>
  <c r="D221" i="15"/>
  <c r="H214" i="15"/>
  <c r="G214" i="15" s="1"/>
  <c r="I214" i="15" s="1"/>
  <c r="C215" i="15" s="1"/>
  <c r="F221" i="15" l="1"/>
  <c r="H215" i="15"/>
  <c r="G215" i="15" s="1"/>
  <c r="I215" i="15" s="1"/>
  <c r="C216" i="15" s="1"/>
  <c r="B222" i="15"/>
  <c r="A223" i="15"/>
  <c r="D222" i="15"/>
  <c r="E222" i="15"/>
  <c r="F222" i="15" l="1"/>
  <c r="H216" i="15"/>
  <c r="G216" i="15" s="1"/>
  <c r="I216" i="15" s="1"/>
  <c r="C217" i="15" s="1"/>
  <c r="E223" i="15"/>
  <c r="B223" i="15"/>
  <c r="A224" i="15"/>
  <c r="D223" i="15"/>
  <c r="F223" i="15" s="1"/>
  <c r="H217" i="15" l="1"/>
  <c r="G217" i="15" s="1"/>
  <c r="I217" i="15" s="1"/>
  <c r="C218" i="15" s="1"/>
  <c r="E224" i="15"/>
  <c r="D224" i="15"/>
  <c r="F224" i="15" s="1"/>
  <c r="B224" i="15"/>
  <c r="A225" i="15"/>
  <c r="H218" i="15" l="1"/>
  <c r="G218" i="15" s="1"/>
  <c r="I218" i="15"/>
  <c r="C219" i="15" s="1"/>
  <c r="D225" i="15"/>
  <c r="E225" i="15"/>
  <c r="B225" i="15"/>
  <c r="A226" i="15"/>
  <c r="F225" i="15" l="1"/>
  <c r="A227" i="15"/>
  <c r="B226" i="15"/>
  <c r="E226" i="15"/>
  <c r="D226" i="15"/>
  <c r="H219" i="15"/>
  <c r="G219" i="15" s="1"/>
  <c r="I219" i="15" s="1"/>
  <c r="C220" i="15" s="1"/>
  <c r="F226" i="15" l="1"/>
  <c r="H220" i="15"/>
  <c r="G220" i="15" s="1"/>
  <c r="I220" i="15" s="1"/>
  <c r="C221" i="15" s="1"/>
  <c r="A228" i="15"/>
  <c r="B227" i="15"/>
  <c r="E227" i="15"/>
  <c r="D227" i="15"/>
  <c r="F227" i="15" l="1"/>
  <c r="B228" i="15"/>
  <c r="A229" i="15"/>
  <c r="D228" i="15"/>
  <c r="F228" i="15" s="1"/>
  <c r="E228" i="15"/>
  <c r="H221" i="15"/>
  <c r="G221" i="15" s="1"/>
  <c r="I221" i="15" s="1"/>
  <c r="C222" i="15" s="1"/>
  <c r="H222" i="15" l="1"/>
  <c r="G222" i="15" s="1"/>
  <c r="I222" i="15" s="1"/>
  <c r="C223" i="15" s="1"/>
  <c r="E229" i="15"/>
  <c r="D229" i="15"/>
  <c r="F229" i="15" s="1"/>
  <c r="B229" i="15"/>
  <c r="A230" i="15"/>
  <c r="H223" i="15" l="1"/>
  <c r="G223" i="15" s="1"/>
  <c r="I223" i="15" s="1"/>
  <c r="C224" i="15" s="1"/>
  <c r="E230" i="15"/>
  <c r="A231" i="15"/>
  <c r="D230" i="15"/>
  <c r="B230" i="15"/>
  <c r="F230" i="15" l="1"/>
  <c r="H224" i="15"/>
  <c r="G224" i="15" s="1"/>
  <c r="I224" i="15" s="1"/>
  <c r="C225" i="15" s="1"/>
  <c r="E231" i="15"/>
  <c r="D231" i="15"/>
  <c r="F231" i="15" s="1"/>
  <c r="A232" i="15"/>
  <c r="B231" i="15"/>
  <c r="H225" i="15" l="1"/>
  <c r="G225" i="15" s="1"/>
  <c r="I225" i="15" s="1"/>
  <c r="C226" i="15" s="1"/>
  <c r="E232" i="15"/>
  <c r="D232" i="15"/>
  <c r="F232" i="15" s="1"/>
  <c r="B232" i="15"/>
  <c r="A233" i="15"/>
  <c r="H226" i="15" l="1"/>
  <c r="G226" i="15" s="1"/>
  <c r="I226" i="15" s="1"/>
  <c r="C227" i="15" s="1"/>
  <c r="D233" i="15"/>
  <c r="A234" i="15"/>
  <c r="B233" i="15"/>
  <c r="E233" i="15"/>
  <c r="F233" i="15" l="1"/>
  <c r="H227" i="15"/>
  <c r="G227" i="15" s="1"/>
  <c r="I227" i="15" s="1"/>
  <c r="C228" i="15" s="1"/>
  <c r="A235" i="15"/>
  <c r="B234" i="15"/>
  <c r="E234" i="15"/>
  <c r="D234" i="15"/>
  <c r="F234" i="15" l="1"/>
  <c r="H228" i="15"/>
  <c r="G228" i="15" s="1"/>
  <c r="I228" i="15" s="1"/>
  <c r="C229" i="15" s="1"/>
  <c r="A236" i="15"/>
  <c r="B235" i="15"/>
  <c r="D235" i="15"/>
  <c r="E235" i="15"/>
  <c r="F235" i="15" l="1"/>
  <c r="H229" i="15"/>
  <c r="G229" i="15" s="1"/>
  <c r="I229" i="15" s="1"/>
  <c r="C230" i="15" s="1"/>
  <c r="E236" i="15"/>
  <c r="D236" i="15"/>
  <c r="B236" i="15"/>
  <c r="A237" i="15"/>
  <c r="F236" i="15" l="1"/>
  <c r="H230" i="15"/>
  <c r="G230" i="15" s="1"/>
  <c r="I230" i="15" s="1"/>
  <c r="C231" i="15" s="1"/>
  <c r="A238" i="15"/>
  <c r="E237" i="15"/>
  <c r="D237" i="15"/>
  <c r="B237" i="15"/>
  <c r="F237" i="15" l="1"/>
  <c r="H231" i="15"/>
  <c r="G231" i="15" s="1"/>
  <c r="I231" i="15" s="1"/>
  <c r="C232" i="15" s="1"/>
  <c r="E238" i="15"/>
  <c r="B238" i="15"/>
  <c r="A239" i="15"/>
  <c r="D238" i="15"/>
  <c r="F238" i="15" l="1"/>
  <c r="E239" i="15"/>
  <c r="D239" i="15"/>
  <c r="F239" i="15" s="1"/>
  <c r="B239" i="15"/>
  <c r="A240" i="15"/>
  <c r="H232" i="15"/>
  <c r="G232" i="15" s="1"/>
  <c r="I232" i="15" s="1"/>
  <c r="C233" i="15" s="1"/>
  <c r="H233" i="15" l="1"/>
  <c r="G233" i="15" s="1"/>
  <c r="I233" i="15" s="1"/>
  <c r="C234" i="15" s="1"/>
  <c r="E240" i="15"/>
  <c r="D240" i="15"/>
  <c r="F240" i="15" s="1"/>
  <c r="A241" i="15"/>
  <c r="B240" i="15"/>
  <c r="H234" i="15" l="1"/>
  <c r="G234" i="15" s="1"/>
  <c r="I234" i="15" s="1"/>
  <c r="C235" i="15" s="1"/>
  <c r="D241" i="15"/>
  <c r="A242" i="15"/>
  <c r="B241" i="15"/>
  <c r="E241" i="15"/>
  <c r="F241" i="15" l="1"/>
  <c r="H235" i="15"/>
  <c r="G235" i="15" s="1"/>
  <c r="I235" i="15" s="1"/>
  <c r="C236" i="15" s="1"/>
  <c r="A243" i="15"/>
  <c r="B242" i="15"/>
  <c r="E242" i="15"/>
  <c r="D242" i="15"/>
  <c r="F242" i="15" s="1"/>
  <c r="H236" i="15" l="1"/>
  <c r="G236" i="15" s="1"/>
  <c r="I236" i="15" s="1"/>
  <c r="C237" i="15" s="1"/>
  <c r="A244" i="15"/>
  <c r="B243" i="15"/>
  <c r="E243" i="15"/>
  <c r="D243" i="15"/>
  <c r="F243" i="15" l="1"/>
  <c r="H237" i="15"/>
  <c r="G237" i="15" s="1"/>
  <c r="I237" i="15" s="1"/>
  <c r="C238" i="15" s="1"/>
  <c r="E244" i="15"/>
  <c r="D244" i="15"/>
  <c r="F244" i="15" s="1"/>
  <c r="B244" i="15"/>
  <c r="A245" i="15"/>
  <c r="E245" i="15" l="1"/>
  <c r="A246" i="15"/>
  <c r="D245" i="15"/>
  <c r="F245" i="15" s="1"/>
  <c r="B245" i="15"/>
  <c r="H238" i="15"/>
  <c r="G238" i="15" s="1"/>
  <c r="I238" i="15" s="1"/>
  <c r="C239" i="15" s="1"/>
  <c r="H239" i="15" l="1"/>
  <c r="G239" i="15" s="1"/>
  <c r="I239" i="15" s="1"/>
  <c r="C240" i="15" s="1"/>
  <c r="E246" i="15"/>
  <c r="D246" i="15"/>
  <c r="F246" i="15" s="1"/>
  <c r="B246" i="15"/>
  <c r="A247" i="15"/>
  <c r="H240" i="15" l="1"/>
  <c r="G240" i="15" s="1"/>
  <c r="I240" i="15" s="1"/>
  <c r="C241" i="15" s="1"/>
  <c r="E247" i="15"/>
  <c r="D247" i="15"/>
  <c r="A248" i="15"/>
  <c r="B247" i="15"/>
  <c r="F247" i="15" l="1"/>
  <c r="H241" i="15"/>
  <c r="G241" i="15" s="1"/>
  <c r="I241" i="15" s="1"/>
  <c r="C242" i="15" s="1"/>
  <c r="E248" i="15"/>
  <c r="D248" i="15"/>
  <c r="F248" i="15" s="1"/>
  <c r="A249" i="15"/>
  <c r="B248" i="15"/>
  <c r="H242" i="15" l="1"/>
  <c r="G242" i="15" s="1"/>
  <c r="I242" i="15" s="1"/>
  <c r="C243" i="15" s="1"/>
  <c r="D249" i="15"/>
  <c r="A250" i="15"/>
  <c r="B249" i="15"/>
  <c r="E249" i="15"/>
  <c r="F249" i="15" s="1"/>
  <c r="H243" i="15" l="1"/>
  <c r="G243" i="15" s="1"/>
  <c r="I243" i="15" s="1"/>
  <c r="C244" i="15" s="1"/>
  <c r="A251" i="15"/>
  <c r="B250" i="15"/>
  <c r="D250" i="15"/>
  <c r="E250" i="15"/>
  <c r="F250" i="15" l="1"/>
  <c r="H244" i="15"/>
  <c r="G244" i="15" s="1"/>
  <c r="I244" i="15" s="1"/>
  <c r="C245" i="15" s="1"/>
  <c r="A252" i="15"/>
  <c r="B251" i="15"/>
  <c r="E251" i="15"/>
  <c r="D251" i="15"/>
  <c r="F251" i="15" l="1"/>
  <c r="H245" i="15"/>
  <c r="G245" i="15" s="1"/>
  <c r="I245" i="15" s="1"/>
  <c r="C246" i="15" s="1"/>
  <c r="A253" i="15"/>
  <c r="E252" i="15"/>
  <c r="D252" i="15"/>
  <c r="F252" i="15" s="1"/>
  <c r="B252" i="15"/>
  <c r="H246" i="15" l="1"/>
  <c r="G246" i="15" s="1"/>
  <c r="I246" i="15" s="1"/>
  <c r="C247" i="15" s="1"/>
  <c r="B253" i="15"/>
  <c r="A254" i="15"/>
  <c r="E253" i="15"/>
  <c r="D253" i="15"/>
  <c r="F253" i="15" s="1"/>
  <c r="H247" i="15" l="1"/>
  <c r="G247" i="15" s="1"/>
  <c r="I247" i="15" s="1"/>
  <c r="C248" i="15" s="1"/>
  <c r="B254" i="15"/>
  <c r="A255" i="15"/>
  <c r="E254" i="15"/>
  <c r="D254" i="15"/>
  <c r="F254" i="15" s="1"/>
  <c r="H248" i="15" l="1"/>
  <c r="G248" i="15" s="1"/>
  <c r="I248" i="15" s="1"/>
  <c r="C249" i="15" s="1"/>
  <c r="E255" i="15"/>
  <c r="D255" i="15"/>
  <c r="B255" i="15"/>
  <c r="A256" i="15"/>
  <c r="F255" i="15" l="1"/>
  <c r="H249" i="15"/>
  <c r="G249" i="15" s="1"/>
  <c r="I249" i="15" s="1"/>
  <c r="C250" i="15" s="1"/>
  <c r="D256" i="15"/>
  <c r="A257" i="15"/>
  <c r="B256" i="15"/>
  <c r="E256" i="15"/>
  <c r="F256" i="15" l="1"/>
  <c r="H250" i="15"/>
  <c r="G250" i="15" s="1"/>
  <c r="I250" i="15" s="1"/>
  <c r="C251" i="15" s="1"/>
  <c r="E257" i="15"/>
  <c r="A258" i="15"/>
  <c r="D257" i="15"/>
  <c r="B257" i="15"/>
  <c r="F257" i="15"/>
  <c r="H251" i="15" l="1"/>
  <c r="G251" i="15" s="1"/>
  <c r="I251" i="15" s="1"/>
  <c r="C252" i="15" s="1"/>
  <c r="D258" i="15"/>
  <c r="A259" i="15"/>
  <c r="B258" i="15"/>
  <c r="E258" i="15"/>
  <c r="F258" i="15" s="1"/>
  <c r="H252" i="15" l="1"/>
  <c r="G252" i="15" s="1"/>
  <c r="I252" i="15" s="1"/>
  <c r="C253" i="15" s="1"/>
  <c r="A260" i="15"/>
  <c r="E259" i="15"/>
  <c r="D259" i="15"/>
  <c r="B259" i="15"/>
  <c r="F259" i="15" l="1"/>
  <c r="H253" i="15"/>
  <c r="G253" i="15" s="1"/>
  <c r="I253" i="15" s="1"/>
  <c r="C254" i="15" s="1"/>
  <c r="A261" i="15"/>
  <c r="B260" i="15"/>
  <c r="E260" i="15"/>
  <c r="D260" i="15"/>
  <c r="F260" i="15" l="1"/>
  <c r="H254" i="15"/>
  <c r="G254" i="15" s="1"/>
  <c r="I254" i="15" s="1"/>
  <c r="C255" i="15" s="1"/>
  <c r="E261" i="15"/>
  <c r="D261" i="15"/>
  <c r="B261" i="15"/>
  <c r="A262" i="15"/>
  <c r="F261" i="15" l="1"/>
  <c r="H255" i="15"/>
  <c r="G255" i="15" s="1"/>
  <c r="I255" i="15" s="1"/>
  <c r="C256" i="15" s="1"/>
  <c r="D262" i="15"/>
  <c r="A263" i="15"/>
  <c r="E262" i="15"/>
  <c r="B262" i="15"/>
  <c r="F262" i="15" l="1"/>
  <c r="E263" i="15"/>
  <c r="D263" i="15"/>
  <c r="B263" i="15"/>
  <c r="A264" i="15"/>
  <c r="H256" i="15"/>
  <c r="G256" i="15" s="1"/>
  <c r="I256" i="15" s="1"/>
  <c r="C257" i="15" s="1"/>
  <c r="F263" i="15" l="1"/>
  <c r="H257" i="15"/>
  <c r="G257" i="15" s="1"/>
  <c r="I257" i="15" s="1"/>
  <c r="C258" i="15" s="1"/>
  <c r="E264" i="15"/>
  <c r="D264" i="15"/>
  <c r="A265" i="15"/>
  <c r="B264" i="15"/>
  <c r="F264" i="15" l="1"/>
  <c r="H258" i="15"/>
  <c r="G258" i="15" s="1"/>
  <c r="I258" i="15" s="1"/>
  <c r="C259" i="15" s="1"/>
  <c r="E265" i="15"/>
  <c r="D265" i="15"/>
  <c r="B265" i="15"/>
  <c r="A266" i="15"/>
  <c r="F265" i="15" l="1"/>
  <c r="H259" i="15"/>
  <c r="G259" i="15" s="1"/>
  <c r="I259" i="15" s="1"/>
  <c r="C260" i="15" s="1"/>
  <c r="D266" i="15"/>
  <c r="A267" i="15"/>
  <c r="B266" i="15"/>
  <c r="E266" i="15"/>
  <c r="F266" i="15" l="1"/>
  <c r="H260" i="15"/>
  <c r="G260" i="15" s="1"/>
  <c r="I260" i="15" s="1"/>
  <c r="C261" i="15" s="1"/>
  <c r="A268" i="15"/>
  <c r="B267" i="15"/>
  <c r="D267" i="15"/>
  <c r="E267" i="15"/>
  <c r="F267" i="15" l="1"/>
  <c r="H261" i="15"/>
  <c r="G261" i="15" s="1"/>
  <c r="I261" i="15" s="1"/>
  <c r="C262" i="15" s="1"/>
  <c r="A269" i="15"/>
  <c r="B268" i="15"/>
  <c r="E268" i="15"/>
  <c r="D268" i="15"/>
  <c r="F268" i="15" s="1"/>
  <c r="H262" i="15" l="1"/>
  <c r="G262" i="15" s="1"/>
  <c r="I262" i="15" s="1"/>
  <c r="C263" i="15" s="1"/>
  <c r="E269" i="15"/>
  <c r="A270" i="15"/>
  <c r="D269" i="15"/>
  <c r="F269" i="15" s="1"/>
  <c r="B269" i="15"/>
  <c r="H263" i="15" l="1"/>
  <c r="G263" i="15" s="1"/>
  <c r="I263" i="15" s="1"/>
  <c r="C264" i="15" s="1"/>
  <c r="D270" i="15"/>
  <c r="E270" i="15"/>
  <c r="B270" i="15"/>
  <c r="A271" i="15"/>
  <c r="F270" i="15" l="1"/>
  <c r="H264" i="15"/>
  <c r="G264" i="15" s="1"/>
  <c r="I264" i="15" s="1"/>
  <c r="C265" i="15" s="1"/>
  <c r="E271" i="15"/>
  <c r="A272" i="15"/>
  <c r="D271" i="15"/>
  <c r="B271" i="15"/>
  <c r="F271" i="15" l="1"/>
  <c r="H265" i="15"/>
  <c r="G265" i="15" s="1"/>
  <c r="I265" i="15" s="1"/>
  <c r="C266" i="15" s="1"/>
  <c r="E272" i="15"/>
  <c r="D272" i="15"/>
  <c r="A273" i="15"/>
  <c r="B272" i="15"/>
  <c r="F272" i="15" l="1"/>
  <c r="E273" i="15"/>
  <c r="D273" i="15"/>
  <c r="A274" i="15"/>
  <c r="B273" i="15"/>
  <c r="H266" i="15"/>
  <c r="G266" i="15" s="1"/>
  <c r="I266" i="15" s="1"/>
  <c r="C267" i="15" s="1"/>
  <c r="F273" i="15" l="1"/>
  <c r="H267" i="15"/>
  <c r="G267" i="15" s="1"/>
  <c r="I267" i="15" s="1"/>
  <c r="C268" i="15" s="1"/>
  <c r="D274" i="15"/>
  <c r="A275" i="15"/>
  <c r="B274" i="15"/>
  <c r="E274" i="15"/>
  <c r="F274" i="15" l="1"/>
  <c r="H268" i="15"/>
  <c r="G268" i="15" s="1"/>
  <c r="I268" i="15" s="1"/>
  <c r="C269" i="15" s="1"/>
  <c r="A276" i="15"/>
  <c r="B275" i="15"/>
  <c r="E275" i="15"/>
  <c r="D275" i="15"/>
  <c r="F275" i="15" l="1"/>
  <c r="H269" i="15"/>
  <c r="G269" i="15" s="1"/>
  <c r="I269" i="15" s="1"/>
  <c r="C270" i="15" s="1"/>
  <c r="A277" i="15"/>
  <c r="B276" i="15"/>
  <c r="D276" i="15"/>
  <c r="E276" i="15"/>
  <c r="F276" i="15" l="1"/>
  <c r="H270" i="15"/>
  <c r="G270" i="15" s="1"/>
  <c r="I270" i="15" s="1"/>
  <c r="C271" i="15" s="1"/>
  <c r="E277" i="15"/>
  <c r="D277" i="15"/>
  <c r="B277" i="15"/>
  <c r="A278" i="15"/>
  <c r="F277" i="15" l="1"/>
  <c r="H271" i="15"/>
  <c r="G271" i="15" s="1"/>
  <c r="I271" i="15" s="1"/>
  <c r="C272" i="15" s="1"/>
  <c r="D278" i="15"/>
  <c r="A279" i="15"/>
  <c r="B278" i="15"/>
  <c r="E278" i="15"/>
  <c r="F278" i="15" l="1"/>
  <c r="H272" i="15"/>
  <c r="G272" i="15" s="1"/>
  <c r="I272" i="15" s="1"/>
  <c r="C273" i="15" s="1"/>
  <c r="E279" i="15"/>
  <c r="D279" i="15"/>
  <c r="F279" i="15" s="1"/>
  <c r="B279" i="15"/>
  <c r="A280" i="15"/>
  <c r="H273" i="15" l="1"/>
  <c r="G273" i="15" s="1"/>
  <c r="I273" i="15" s="1"/>
  <c r="C274" i="15" s="1"/>
  <c r="E280" i="15"/>
  <c r="D280" i="15"/>
  <c r="A281" i="15"/>
  <c r="B280" i="15"/>
  <c r="F280" i="15" l="1"/>
  <c r="H274" i="15"/>
  <c r="G274" i="15" s="1"/>
  <c r="I274" i="15" s="1"/>
  <c r="C275" i="15" s="1"/>
  <c r="E281" i="15"/>
  <c r="D281" i="15"/>
  <c r="F281" i="15" s="1"/>
  <c r="B281" i="15"/>
  <c r="A282" i="15"/>
  <c r="H275" i="15" l="1"/>
  <c r="G275" i="15" s="1"/>
  <c r="I275" i="15" s="1"/>
  <c r="C276" i="15" s="1"/>
  <c r="D282" i="15"/>
  <c r="A283" i="15"/>
  <c r="B282" i="15"/>
  <c r="E282" i="15"/>
  <c r="F282" i="15" s="1"/>
  <c r="H276" i="15" l="1"/>
  <c r="G276" i="15" s="1"/>
  <c r="I276" i="15" s="1"/>
  <c r="C277" i="15" s="1"/>
  <c r="A284" i="15"/>
  <c r="B283" i="15"/>
  <c r="E283" i="15"/>
  <c r="D283" i="15"/>
  <c r="F283" i="15" l="1"/>
  <c r="H277" i="15"/>
  <c r="G277" i="15" s="1"/>
  <c r="I277" i="15" s="1"/>
  <c r="C278" i="15" s="1"/>
  <c r="A285" i="15"/>
  <c r="B284" i="15"/>
  <c r="E284" i="15"/>
  <c r="D284" i="15"/>
  <c r="F284" i="15" s="1"/>
  <c r="H278" i="15" l="1"/>
  <c r="G278" i="15" s="1"/>
  <c r="I278" i="15" s="1"/>
  <c r="C279" i="15" s="1"/>
  <c r="E285" i="15"/>
  <c r="A286" i="15"/>
  <c r="D285" i="15"/>
  <c r="F285" i="15" s="1"/>
  <c r="B285" i="15"/>
  <c r="H279" i="15" l="1"/>
  <c r="G279" i="15" s="1"/>
  <c r="I279" i="15" s="1"/>
  <c r="C280" i="15" s="1"/>
  <c r="D286" i="15"/>
  <c r="F286" i="15" s="1"/>
  <c r="E286" i="15"/>
  <c r="B286" i="15"/>
  <c r="A287" i="15"/>
  <c r="H280" i="15" l="1"/>
  <c r="G280" i="15" s="1"/>
  <c r="I280" i="15" s="1"/>
  <c r="C281" i="15" s="1"/>
  <c r="E287" i="15"/>
  <c r="A288" i="15"/>
  <c r="D287" i="15"/>
  <c r="F287" i="15" s="1"/>
  <c r="B287" i="15"/>
  <c r="H281" i="15" l="1"/>
  <c r="G281" i="15" s="1"/>
  <c r="I281" i="15" s="1"/>
  <c r="C282" i="15" s="1"/>
  <c r="E288" i="15"/>
  <c r="D288" i="15"/>
  <c r="A289" i="15"/>
  <c r="B288" i="15"/>
  <c r="F288" i="15" l="1"/>
  <c r="H282" i="15"/>
  <c r="G282" i="15" s="1"/>
  <c r="I282" i="15" s="1"/>
  <c r="C283" i="15" s="1"/>
  <c r="E289" i="15"/>
  <c r="D289" i="15"/>
  <c r="F289" i="15" s="1"/>
  <c r="A290" i="15"/>
  <c r="B289" i="15"/>
  <c r="H283" i="15" l="1"/>
  <c r="G283" i="15" s="1"/>
  <c r="I283" i="15" s="1"/>
  <c r="C284" i="15" s="1"/>
  <c r="D290" i="15"/>
  <c r="A291" i="15"/>
  <c r="B290" i="15"/>
  <c r="E290" i="15"/>
  <c r="F290" i="15" l="1"/>
  <c r="H284" i="15"/>
  <c r="G284" i="15" s="1"/>
  <c r="I284" i="15" s="1"/>
  <c r="C285" i="15" s="1"/>
  <c r="A292" i="15"/>
  <c r="B291" i="15"/>
  <c r="E291" i="15"/>
  <c r="D291" i="15"/>
  <c r="F291" i="15" s="1"/>
  <c r="H285" i="15" l="1"/>
  <c r="G285" i="15" s="1"/>
  <c r="I285" i="15" s="1"/>
  <c r="C286" i="15" s="1"/>
  <c r="A293" i="15"/>
  <c r="B292" i="15"/>
  <c r="D292" i="15"/>
  <c r="E292" i="15"/>
  <c r="F292" i="15" l="1"/>
  <c r="H286" i="15"/>
  <c r="G286" i="15" s="1"/>
  <c r="I286" i="15" s="1"/>
  <c r="C287" i="15" s="1"/>
  <c r="E293" i="15"/>
  <c r="D293" i="15"/>
  <c r="B293" i="15"/>
  <c r="A294" i="15"/>
  <c r="F293" i="15" l="1"/>
  <c r="H287" i="15"/>
  <c r="G287" i="15" s="1"/>
  <c r="I287" i="15" s="1"/>
  <c r="C288" i="15" s="1"/>
  <c r="D294" i="15"/>
  <c r="A295" i="15"/>
  <c r="B294" i="15"/>
  <c r="E294" i="15"/>
  <c r="F294" i="15" l="1"/>
  <c r="H288" i="15"/>
  <c r="G288" i="15" s="1"/>
  <c r="I288" i="15" s="1"/>
  <c r="C289" i="15" s="1"/>
  <c r="E295" i="15"/>
  <c r="D295" i="15"/>
  <c r="F295" i="15" s="1"/>
  <c r="B295" i="15"/>
  <c r="A296" i="15"/>
  <c r="H289" i="15" l="1"/>
  <c r="G289" i="15" s="1"/>
  <c r="I289" i="15" s="1"/>
  <c r="C290" i="15" s="1"/>
  <c r="E296" i="15"/>
  <c r="D296" i="15"/>
  <c r="A297" i="15"/>
  <c r="B296" i="15"/>
  <c r="F296" i="15" l="1"/>
  <c r="H290" i="15"/>
  <c r="G290" i="15" s="1"/>
  <c r="I290" i="15" s="1"/>
  <c r="C291" i="15" s="1"/>
  <c r="E297" i="15"/>
  <c r="D297" i="15"/>
  <c r="F297" i="15" s="1"/>
  <c r="B297" i="15"/>
  <c r="A298" i="15"/>
  <c r="H291" i="15" l="1"/>
  <c r="G291" i="15" s="1"/>
  <c r="I291" i="15" s="1"/>
  <c r="C292" i="15" s="1"/>
  <c r="D298" i="15"/>
  <c r="A299" i="15"/>
  <c r="B298" i="15"/>
  <c r="E298" i="15"/>
  <c r="F298" i="15" s="1"/>
  <c r="A300" i="15" l="1"/>
  <c r="B299" i="15"/>
  <c r="E299" i="15"/>
  <c r="D299" i="15"/>
  <c r="H292" i="15"/>
  <c r="G292" i="15" s="1"/>
  <c r="I292" i="15" s="1"/>
  <c r="C293" i="15" s="1"/>
  <c r="F299" i="15" l="1"/>
  <c r="H293" i="15"/>
  <c r="G293" i="15" s="1"/>
  <c r="I293" i="15" s="1"/>
  <c r="C294" i="15" s="1"/>
  <c r="A301" i="15"/>
  <c r="B300" i="15"/>
  <c r="E300" i="15"/>
  <c r="D300" i="15"/>
  <c r="F300" i="15" l="1"/>
  <c r="H294" i="15"/>
  <c r="G294" i="15" s="1"/>
  <c r="I294" i="15" s="1"/>
  <c r="C295" i="15" s="1"/>
  <c r="E301" i="15"/>
  <c r="A302" i="15"/>
  <c r="D301" i="15"/>
  <c r="F301" i="15" s="1"/>
  <c r="B301" i="15"/>
  <c r="H295" i="15" l="1"/>
  <c r="G295" i="15" s="1"/>
  <c r="I295" i="15" s="1"/>
  <c r="C296" i="15" s="1"/>
  <c r="D302" i="15"/>
  <c r="E302" i="15"/>
  <c r="B302" i="15"/>
  <c r="A303" i="15"/>
  <c r="F302" i="15" l="1"/>
  <c r="H296" i="15"/>
  <c r="G296" i="15" s="1"/>
  <c r="I296" i="15" s="1"/>
  <c r="C297" i="15" s="1"/>
  <c r="D303" i="15"/>
  <c r="A304" i="15"/>
  <c r="B303" i="15"/>
  <c r="E303" i="15"/>
  <c r="F303" i="15" l="1"/>
  <c r="H297" i="15"/>
  <c r="G297" i="15" s="1"/>
  <c r="I297" i="15" s="1"/>
  <c r="C298" i="15" s="1"/>
  <c r="D304" i="15"/>
  <c r="E304" i="15"/>
  <c r="B304" i="15"/>
  <c r="A305" i="15"/>
  <c r="F304" i="15" l="1"/>
  <c r="H298" i="15"/>
  <c r="G298" i="15" s="1"/>
  <c r="I298" i="15" s="1"/>
  <c r="C299" i="15" s="1"/>
  <c r="E305" i="15"/>
  <c r="A306" i="15"/>
  <c r="D305" i="15"/>
  <c r="B305" i="15"/>
  <c r="F305" i="15" l="1"/>
  <c r="H299" i="15"/>
  <c r="G299" i="15" s="1"/>
  <c r="I299" i="15" s="1"/>
  <c r="C300" i="15" s="1"/>
  <c r="E306" i="15"/>
  <c r="D306" i="15"/>
  <c r="A307" i="15"/>
  <c r="B306" i="15"/>
  <c r="F306" i="15" l="1"/>
  <c r="H300" i="15"/>
  <c r="G300" i="15" s="1"/>
  <c r="I300" i="15" s="1"/>
  <c r="C301" i="15" s="1"/>
  <c r="D307" i="15"/>
  <c r="A308" i="15"/>
  <c r="B307" i="15"/>
  <c r="E307" i="15"/>
  <c r="F307" i="15" l="1"/>
  <c r="H301" i="15"/>
  <c r="G301" i="15" s="1"/>
  <c r="I301" i="15" s="1"/>
  <c r="C302" i="15" s="1"/>
  <c r="A309" i="15"/>
  <c r="B308" i="15"/>
  <c r="E308" i="15"/>
  <c r="D308" i="15"/>
  <c r="F308" i="15" l="1"/>
  <c r="H302" i="15"/>
  <c r="G302" i="15" s="1"/>
  <c r="I302" i="15" s="1"/>
  <c r="C303" i="15" s="1"/>
  <c r="A310" i="15"/>
  <c r="B309" i="15"/>
  <c r="D309" i="15"/>
  <c r="E309" i="15"/>
  <c r="F309" i="15" l="1"/>
  <c r="H303" i="15"/>
  <c r="G303" i="15" s="1"/>
  <c r="I303" i="15" s="1"/>
  <c r="C304" i="15" s="1"/>
  <c r="B310" i="15"/>
  <c r="D310" i="15"/>
  <c r="A311" i="15"/>
  <c r="E310" i="15"/>
  <c r="F310" i="15" l="1"/>
  <c r="H304" i="15"/>
  <c r="G304" i="15" s="1"/>
  <c r="I304" i="15" s="1"/>
  <c r="C305" i="15" s="1"/>
  <c r="D311" i="15"/>
  <c r="B311" i="15"/>
  <c r="A312" i="15"/>
  <c r="E311" i="15"/>
  <c r="F311" i="15" l="1"/>
  <c r="H305" i="15"/>
  <c r="G305" i="15" s="1"/>
  <c r="I305" i="15" s="1"/>
  <c r="C306" i="15" s="1"/>
  <c r="E312" i="15"/>
  <c r="D312" i="15"/>
  <c r="F312" i="15" s="1"/>
  <c r="B312" i="15"/>
  <c r="A313" i="15"/>
  <c r="H306" i="15" l="1"/>
  <c r="G306" i="15" s="1"/>
  <c r="I306" i="15" s="1"/>
  <c r="C307" i="15" s="1"/>
  <c r="E313" i="15"/>
  <c r="D313" i="15"/>
  <c r="A314" i="15"/>
  <c r="B313" i="15"/>
  <c r="F313" i="15" l="1"/>
  <c r="H307" i="15"/>
  <c r="G307" i="15" s="1"/>
  <c r="I307" i="15" s="1"/>
  <c r="C308" i="15" s="1"/>
  <c r="E314" i="15"/>
  <c r="D314" i="15"/>
  <c r="F314" i="15" s="1"/>
  <c r="A315" i="15"/>
  <c r="B314" i="15"/>
  <c r="H308" i="15" l="1"/>
  <c r="G308" i="15" s="1"/>
  <c r="I308" i="15" s="1"/>
  <c r="C309" i="15" s="1"/>
  <c r="D315" i="15"/>
  <c r="A316" i="15"/>
  <c r="B315" i="15"/>
  <c r="E315" i="15"/>
  <c r="F315" i="15" l="1"/>
  <c r="H309" i="15"/>
  <c r="G309" i="15" s="1"/>
  <c r="I309" i="15" s="1"/>
  <c r="C310" i="15" s="1"/>
  <c r="A317" i="15"/>
  <c r="B316" i="15"/>
  <c r="E316" i="15"/>
  <c r="D316" i="15"/>
  <c r="F316" i="15" l="1"/>
  <c r="H310" i="15"/>
  <c r="G310" i="15" s="1"/>
  <c r="I310" i="15" s="1"/>
  <c r="C311" i="15" s="1"/>
  <c r="A318" i="15"/>
  <c r="B317" i="15"/>
  <c r="D317" i="15"/>
  <c r="E317" i="15"/>
  <c r="F317" i="15" l="1"/>
  <c r="H311" i="15"/>
  <c r="G311" i="15" s="1"/>
  <c r="I311" i="15" s="1"/>
  <c r="C312" i="15" s="1"/>
  <c r="E318" i="15"/>
  <c r="A319" i="15"/>
  <c r="D318" i="15"/>
  <c r="B318" i="15"/>
  <c r="F318" i="15" l="1"/>
  <c r="H312" i="15"/>
  <c r="G312" i="15" s="1"/>
  <c r="I312" i="15" s="1"/>
  <c r="C313" i="15" s="1"/>
  <c r="E319" i="15"/>
  <c r="D319" i="15"/>
  <c r="F319" i="15" s="1"/>
  <c r="B319" i="15"/>
  <c r="A320" i="15"/>
  <c r="H313" i="15" l="1"/>
  <c r="G313" i="15" s="1"/>
  <c r="I313" i="15" s="1"/>
  <c r="C314" i="15" s="1"/>
  <c r="E320" i="15"/>
  <c r="D320" i="15"/>
  <c r="A321" i="15"/>
  <c r="B320" i="15"/>
  <c r="F320" i="15" l="1"/>
  <c r="H314" i="15"/>
  <c r="G314" i="15" s="1"/>
  <c r="I314" i="15" s="1"/>
  <c r="C315" i="15" s="1"/>
  <c r="E321" i="15"/>
  <c r="D321" i="15"/>
  <c r="F321" i="15" s="1"/>
  <c r="A322" i="15"/>
  <c r="B321" i="15"/>
  <c r="H315" i="15" l="1"/>
  <c r="G315" i="15" s="1"/>
  <c r="I315" i="15" s="1"/>
  <c r="C316" i="15" s="1"/>
  <c r="E322" i="15"/>
  <c r="D322" i="15"/>
  <c r="A323" i="15"/>
  <c r="B322" i="15"/>
  <c r="F322" i="15" l="1"/>
  <c r="H316" i="15"/>
  <c r="G316" i="15" s="1"/>
  <c r="I316" i="15" s="1"/>
  <c r="C317" i="15" s="1"/>
  <c r="D323" i="15"/>
  <c r="A324" i="15"/>
  <c r="B323" i="15"/>
  <c r="E323" i="15"/>
  <c r="F323" i="15" l="1"/>
  <c r="H317" i="15"/>
  <c r="G317" i="15" s="1"/>
  <c r="I317" i="15" s="1"/>
  <c r="C318" i="15" s="1"/>
  <c r="A325" i="15"/>
  <c r="B324" i="15"/>
  <c r="E324" i="15"/>
  <c r="D324" i="15"/>
  <c r="F324" i="15" s="1"/>
  <c r="H318" i="15" l="1"/>
  <c r="G318" i="15" s="1"/>
  <c r="I318" i="15" s="1"/>
  <c r="C319" i="15" s="1"/>
  <c r="A326" i="15"/>
  <c r="B325" i="15"/>
  <c r="E325" i="15"/>
  <c r="D325" i="15"/>
  <c r="F325" i="15" s="1"/>
  <c r="H319" i="15" l="1"/>
  <c r="G319" i="15" s="1"/>
  <c r="I319" i="15" s="1"/>
  <c r="C320" i="15" s="1"/>
  <c r="E326" i="15"/>
  <c r="B326" i="15"/>
  <c r="A327" i="15"/>
  <c r="D326" i="15"/>
  <c r="F326" i="15" s="1"/>
  <c r="H320" i="15" l="1"/>
  <c r="G320" i="15" s="1"/>
  <c r="I320" i="15"/>
  <c r="C321" i="15" s="1"/>
  <c r="E327" i="15"/>
  <c r="D327" i="15"/>
  <c r="F327" i="15" s="1"/>
  <c r="A328" i="15"/>
  <c r="B327" i="15"/>
  <c r="H321" i="15" l="1"/>
  <c r="G321" i="15" s="1"/>
  <c r="I321" i="15" s="1"/>
  <c r="C322" i="15" s="1"/>
  <c r="A329" i="15"/>
  <c r="E328" i="15"/>
  <c r="D328" i="15"/>
  <c r="F328" i="15" s="1"/>
  <c r="B328" i="15"/>
  <c r="H322" i="15" l="1"/>
  <c r="G322" i="15" s="1"/>
  <c r="I322" i="15" s="1"/>
  <c r="C323" i="15" s="1"/>
  <c r="E329" i="15"/>
  <c r="D329" i="15"/>
  <c r="A330" i="15"/>
  <c r="B329" i="15"/>
  <c r="F329" i="15" l="1"/>
  <c r="H323" i="15"/>
  <c r="G323" i="15" s="1"/>
  <c r="I323" i="15" s="1"/>
  <c r="C324" i="15" s="1"/>
  <c r="E330" i="15"/>
  <c r="D330" i="15"/>
  <c r="F330" i="15" s="1"/>
  <c r="A331" i="15"/>
  <c r="B330" i="15"/>
  <c r="D331" i="15" l="1"/>
  <c r="A332" i="15"/>
  <c r="B331" i="15"/>
  <c r="E331" i="15"/>
  <c r="F331" i="15" s="1"/>
  <c r="H324" i="15"/>
  <c r="G324" i="15" s="1"/>
  <c r="I324" i="15" s="1"/>
  <c r="C325" i="15" s="1"/>
  <c r="H325" i="15" l="1"/>
  <c r="G325" i="15" s="1"/>
  <c r="I325" i="15" s="1"/>
  <c r="C326" i="15" s="1"/>
  <c r="A333" i="15"/>
  <c r="B332" i="15"/>
  <c r="D332" i="15"/>
  <c r="E332" i="15"/>
  <c r="F332" i="15" l="1"/>
  <c r="H326" i="15"/>
  <c r="G326" i="15" s="1"/>
  <c r="I326" i="15" s="1"/>
  <c r="C327" i="15" s="1"/>
  <c r="E333" i="15"/>
  <c r="A334" i="15"/>
  <c r="B333" i="15"/>
  <c r="D333" i="15"/>
  <c r="F333" i="15" l="1"/>
  <c r="H327" i="15"/>
  <c r="G327" i="15" s="1"/>
  <c r="I327" i="15" s="1"/>
  <c r="C328" i="15" s="1"/>
  <c r="D334" i="15"/>
  <c r="E334" i="15"/>
  <c r="A335" i="15"/>
  <c r="B334" i="15"/>
  <c r="F334" i="15" l="1"/>
  <c r="H328" i="15"/>
  <c r="G328" i="15" s="1"/>
  <c r="I328" i="15" s="1"/>
  <c r="C329" i="15" s="1"/>
  <c r="E335" i="15"/>
  <c r="D335" i="15"/>
  <c r="B335" i="15"/>
  <c r="A336" i="15"/>
  <c r="F335" i="15" l="1"/>
  <c r="H329" i="15"/>
  <c r="G329" i="15" s="1"/>
  <c r="I329" i="15" s="1"/>
  <c r="C330" i="15" s="1"/>
  <c r="A337" i="15"/>
  <c r="B336" i="15"/>
  <c r="E336" i="15"/>
  <c r="D336" i="15"/>
  <c r="F336" i="15" s="1"/>
  <c r="E337" i="15" l="1"/>
  <c r="D337" i="15"/>
  <c r="F337" i="15" s="1"/>
  <c r="A338" i="15"/>
  <c r="B337" i="15"/>
  <c r="H330" i="15"/>
  <c r="G330" i="15" s="1"/>
  <c r="I330" i="15" s="1"/>
  <c r="C331" i="15" s="1"/>
  <c r="H331" i="15" l="1"/>
  <c r="G331" i="15" s="1"/>
  <c r="I331" i="15"/>
  <c r="C332" i="15" s="1"/>
  <c r="E338" i="15"/>
  <c r="D338" i="15"/>
  <c r="A339" i="15"/>
  <c r="B338" i="15"/>
  <c r="F338" i="15" l="1"/>
  <c r="D339" i="15"/>
  <c r="A340" i="15"/>
  <c r="B339" i="15"/>
  <c r="E339" i="15"/>
  <c r="H332" i="15"/>
  <c r="G332" i="15" s="1"/>
  <c r="I332" i="15" s="1"/>
  <c r="C333" i="15" s="1"/>
  <c r="F339" i="15" l="1"/>
  <c r="H333" i="15"/>
  <c r="G333" i="15" s="1"/>
  <c r="I333" i="15" s="1"/>
  <c r="C334" i="15" s="1"/>
  <c r="A341" i="15"/>
  <c r="B340" i="15"/>
  <c r="D340" i="15"/>
  <c r="E340" i="15"/>
  <c r="F340" i="15" l="1"/>
  <c r="E341" i="15"/>
  <c r="A342" i="15"/>
  <c r="B341" i="15"/>
  <c r="D341" i="15"/>
  <c r="H334" i="15"/>
  <c r="G334" i="15" s="1"/>
  <c r="I334" i="15" s="1"/>
  <c r="C335" i="15" s="1"/>
  <c r="F341" i="15" l="1"/>
  <c r="H335" i="15"/>
  <c r="G335" i="15" s="1"/>
  <c r="I335" i="15" s="1"/>
  <c r="C336" i="15" s="1"/>
  <c r="D342" i="15"/>
  <c r="F342" i="15" s="1"/>
  <c r="E342" i="15"/>
  <c r="A343" i="15"/>
  <c r="B342" i="15"/>
  <c r="H336" i="15" l="1"/>
  <c r="G336" i="15" s="1"/>
  <c r="I336" i="15" s="1"/>
  <c r="C337" i="15" s="1"/>
  <c r="E343" i="15"/>
  <c r="D343" i="15"/>
  <c r="A344" i="15"/>
  <c r="B343" i="15"/>
  <c r="F343" i="15" l="1"/>
  <c r="H337" i="15"/>
  <c r="G337" i="15" s="1"/>
  <c r="I337" i="15" s="1"/>
  <c r="C338" i="15" s="1"/>
  <c r="A345" i="15"/>
  <c r="B344" i="15"/>
  <c r="E344" i="15"/>
  <c r="D344" i="15"/>
  <c r="F344" i="15" l="1"/>
  <c r="H338" i="15"/>
  <c r="G338" i="15" s="1"/>
  <c r="I338" i="15" s="1"/>
  <c r="C339" i="15" s="1"/>
  <c r="E345" i="15"/>
  <c r="D345" i="15"/>
  <c r="F345" i="15" s="1"/>
  <c r="A346" i="15"/>
  <c r="B345" i="15"/>
  <c r="H339" i="15" l="1"/>
  <c r="G339" i="15" s="1"/>
  <c r="I339" i="15" s="1"/>
  <c r="C340" i="15" s="1"/>
  <c r="E346" i="15"/>
  <c r="D346" i="15"/>
  <c r="A347" i="15"/>
  <c r="B346" i="15"/>
  <c r="F346" i="15" l="1"/>
  <c r="H340" i="15"/>
  <c r="G340" i="15" s="1"/>
  <c r="I340" i="15" s="1"/>
  <c r="C341" i="15" s="1"/>
  <c r="D347" i="15"/>
  <c r="A348" i="15"/>
  <c r="B347" i="15"/>
  <c r="E347" i="15"/>
  <c r="F347" i="15"/>
  <c r="H341" i="15" l="1"/>
  <c r="G341" i="15" s="1"/>
  <c r="I341" i="15" s="1"/>
  <c r="C342" i="15" s="1"/>
  <c r="A349" i="15"/>
  <c r="B348" i="15"/>
  <c r="D348" i="15"/>
  <c r="E348" i="15"/>
  <c r="F348" i="15" s="1"/>
  <c r="H342" i="15" l="1"/>
  <c r="G342" i="15" s="1"/>
  <c r="I342" i="15" s="1"/>
  <c r="C343" i="15" s="1"/>
  <c r="E349" i="15"/>
  <c r="A350" i="15"/>
  <c r="B349" i="15"/>
  <c r="D349" i="15"/>
  <c r="F349" i="15" s="1"/>
  <c r="H343" i="15" l="1"/>
  <c r="G343" i="15" s="1"/>
  <c r="I343" i="15" s="1"/>
  <c r="C344" i="15" s="1"/>
  <c r="D350" i="15"/>
  <c r="E350" i="15"/>
  <c r="B350" i="15"/>
  <c r="A351" i="15"/>
  <c r="F350" i="15" l="1"/>
  <c r="H344" i="15"/>
  <c r="G344" i="15" s="1"/>
  <c r="I344" i="15" s="1"/>
  <c r="C345" i="15" s="1"/>
  <c r="E351" i="15"/>
  <c r="D351" i="15"/>
  <c r="A352" i="15"/>
  <c r="B351" i="15"/>
  <c r="F351" i="15" l="1"/>
  <c r="H345" i="15"/>
  <c r="G345" i="15" s="1"/>
  <c r="I345" i="15" s="1"/>
  <c r="C346" i="15" s="1"/>
  <c r="A353" i="15"/>
  <c r="B352" i="15"/>
  <c r="E352" i="15"/>
  <c r="D352" i="15"/>
  <c r="F352" i="15" l="1"/>
  <c r="H346" i="15"/>
  <c r="G346" i="15" s="1"/>
  <c r="I346" i="15" s="1"/>
  <c r="C347" i="15" s="1"/>
  <c r="E353" i="15"/>
  <c r="D353" i="15"/>
  <c r="F353" i="15" s="1"/>
  <c r="A354" i="15"/>
  <c r="B353" i="15"/>
  <c r="H347" i="15" l="1"/>
  <c r="G347" i="15" s="1"/>
  <c r="I347" i="15" s="1"/>
  <c r="C348" i="15" s="1"/>
  <c r="E354" i="15"/>
  <c r="D354" i="15"/>
  <c r="A355" i="15"/>
  <c r="B354" i="15"/>
  <c r="F354" i="15" l="1"/>
  <c r="H348" i="15"/>
  <c r="G348" i="15" s="1"/>
  <c r="I348" i="15" s="1"/>
  <c r="C349" i="15" s="1"/>
  <c r="D355" i="15"/>
  <c r="A356" i="15"/>
  <c r="B355" i="15"/>
  <c r="E355" i="15"/>
  <c r="F355" i="15" l="1"/>
  <c r="H349" i="15"/>
  <c r="G349" i="15" s="1"/>
  <c r="I349" i="15" s="1"/>
  <c r="C350" i="15" s="1"/>
  <c r="A357" i="15"/>
  <c r="B356" i="15"/>
  <c r="E356" i="15"/>
  <c r="D356" i="15"/>
  <c r="F356" i="15" l="1"/>
  <c r="H350" i="15"/>
  <c r="G350" i="15" s="1"/>
  <c r="I350" i="15" s="1"/>
  <c r="C351" i="15" s="1"/>
  <c r="E357" i="15"/>
  <c r="A358" i="15"/>
  <c r="B357" i="15"/>
  <c r="D357" i="15"/>
  <c r="F357" i="15" s="1"/>
  <c r="H351" i="15" l="1"/>
  <c r="G351" i="15" s="1"/>
  <c r="I351" i="15" s="1"/>
  <c r="C352" i="15" s="1"/>
  <c r="D358" i="15"/>
  <c r="E358" i="15"/>
  <c r="F358" i="15" s="1"/>
  <c r="A359" i="15"/>
  <c r="B358" i="15"/>
  <c r="H352" i="15" l="1"/>
  <c r="G352" i="15" s="1"/>
  <c r="I352" i="15" s="1"/>
  <c r="C353" i="15" s="1"/>
  <c r="E359" i="15"/>
  <c r="D359" i="15"/>
  <c r="F359" i="15" s="1"/>
  <c r="A360" i="15"/>
  <c r="B359" i="15"/>
  <c r="H353" i="15" l="1"/>
  <c r="G353" i="15" s="1"/>
  <c r="I353" i="15" s="1"/>
  <c r="C354" i="15" s="1"/>
  <c r="A361" i="15"/>
  <c r="B360" i="15"/>
  <c r="E360" i="15"/>
  <c r="D360" i="15"/>
  <c r="F360" i="15" s="1"/>
  <c r="H354" i="15" l="1"/>
  <c r="G354" i="15" s="1"/>
  <c r="I354" i="15" s="1"/>
  <c r="C355" i="15" s="1"/>
  <c r="E361" i="15"/>
  <c r="D361" i="15"/>
  <c r="F361" i="15" s="1"/>
  <c r="A362" i="15"/>
  <c r="B361" i="15"/>
  <c r="E362" i="15" l="1"/>
  <c r="D362" i="15"/>
  <c r="F362" i="15" s="1"/>
  <c r="A363" i="15"/>
  <c r="B362" i="15"/>
  <c r="H355" i="15"/>
  <c r="G355" i="15" s="1"/>
  <c r="I355" i="15" s="1"/>
  <c r="C356" i="15" s="1"/>
  <c r="H356" i="15" l="1"/>
  <c r="G356" i="15" s="1"/>
  <c r="I356" i="15"/>
  <c r="C357" i="15" s="1"/>
  <c r="D363" i="15"/>
  <c r="A364" i="15"/>
  <c r="B363" i="15"/>
  <c r="E363" i="15"/>
  <c r="F363" i="15" s="1"/>
  <c r="H357" i="15" l="1"/>
  <c r="G357" i="15" s="1"/>
  <c r="I357" i="15" s="1"/>
  <c r="C358" i="15" s="1"/>
  <c r="A365" i="15"/>
  <c r="B364" i="15"/>
  <c r="D364" i="15"/>
  <c r="E364" i="15"/>
  <c r="F364" i="15" l="1"/>
  <c r="H358" i="15"/>
  <c r="G358" i="15" s="1"/>
  <c r="I358" i="15" s="1"/>
  <c r="C359" i="15" s="1"/>
  <c r="E365" i="15"/>
  <c r="A366" i="15"/>
  <c r="B365" i="15"/>
  <c r="D365" i="15"/>
  <c r="F365" i="15" s="1"/>
  <c r="H359" i="15" l="1"/>
  <c r="G359" i="15" s="1"/>
  <c r="I359" i="15" s="1"/>
  <c r="C360" i="15" s="1"/>
  <c r="D366" i="15"/>
  <c r="E366" i="15"/>
  <c r="A367" i="15"/>
  <c r="B366" i="15"/>
  <c r="F366" i="15" l="1"/>
  <c r="H360" i="15"/>
  <c r="G360" i="15" s="1"/>
  <c r="I360" i="15" s="1"/>
  <c r="C361" i="15" s="1"/>
  <c r="E367" i="15"/>
  <c r="D367" i="15"/>
  <c r="B367" i="15"/>
  <c r="A368" i="15"/>
  <c r="F367" i="15" l="1"/>
  <c r="H361" i="15"/>
  <c r="G361" i="15" s="1"/>
  <c r="I361" i="15" s="1"/>
  <c r="C362" i="15" s="1"/>
  <c r="A369" i="15"/>
  <c r="B368" i="15"/>
  <c r="E368" i="15"/>
  <c r="D368" i="15"/>
  <c r="F368" i="15" l="1"/>
  <c r="H362" i="15"/>
  <c r="G362" i="15" s="1"/>
  <c r="I362" i="15" s="1"/>
  <c r="C363" i="15" s="1"/>
  <c r="E369" i="15"/>
  <c r="D369" i="15"/>
  <c r="A370" i="15"/>
  <c r="B369" i="15"/>
  <c r="F369" i="15" l="1"/>
  <c r="H363" i="15"/>
  <c r="G363" i="15" s="1"/>
  <c r="I363" i="15" s="1"/>
  <c r="C364" i="15" s="1"/>
  <c r="E370" i="15"/>
  <c r="D370" i="15"/>
  <c r="F370" i="15" s="1"/>
  <c r="A371" i="15"/>
  <c r="B370" i="15"/>
  <c r="H364" i="15" l="1"/>
  <c r="G364" i="15" s="1"/>
  <c r="I364" i="15" s="1"/>
  <c r="C365" i="15" s="1"/>
  <c r="D371" i="15"/>
  <c r="A372" i="15"/>
  <c r="B371" i="15"/>
  <c r="E371" i="15"/>
  <c r="F371" i="15" l="1"/>
  <c r="H365" i="15"/>
  <c r="G365" i="15" s="1"/>
  <c r="I365" i="15" s="1"/>
  <c r="C366" i="15" s="1"/>
  <c r="A373" i="15"/>
  <c r="B372" i="15"/>
  <c r="E372" i="15"/>
  <c r="D372" i="15"/>
  <c r="F372" i="15" l="1"/>
  <c r="H366" i="15"/>
  <c r="G366" i="15" s="1"/>
  <c r="I366" i="15" s="1"/>
  <c r="C367" i="15" s="1"/>
  <c r="E373" i="15"/>
  <c r="A374" i="15"/>
  <c r="B373" i="15"/>
  <c r="D373" i="15"/>
  <c r="F373" i="15" s="1"/>
  <c r="H367" i="15" l="1"/>
  <c r="G367" i="15" s="1"/>
  <c r="I367" i="15" s="1"/>
  <c r="C368" i="15" s="1"/>
  <c r="D374" i="15"/>
  <c r="A375" i="15"/>
  <c r="E374" i="15"/>
  <c r="B374" i="15"/>
  <c r="F374" i="15" l="1"/>
  <c r="H368" i="15"/>
  <c r="G368" i="15" s="1"/>
  <c r="I368" i="15" s="1"/>
  <c r="C369" i="15" s="1"/>
  <c r="A376" i="15"/>
  <c r="E375" i="15"/>
  <c r="D375" i="15"/>
  <c r="F375" i="15" s="1"/>
  <c r="B375" i="15"/>
  <c r="H369" i="15" l="1"/>
  <c r="G369" i="15" s="1"/>
  <c r="I369" i="15" s="1"/>
  <c r="C370" i="15" s="1"/>
  <c r="A377" i="15"/>
  <c r="B376" i="15"/>
  <c r="E376" i="15"/>
  <c r="D376" i="15"/>
  <c r="F376" i="15" l="1"/>
  <c r="H370" i="15"/>
  <c r="G370" i="15" s="1"/>
  <c r="I370" i="15" s="1"/>
  <c r="C371" i="15" s="1"/>
  <c r="E377" i="15"/>
  <c r="D377" i="15"/>
  <c r="B377" i="15"/>
  <c r="F377" i="15" l="1"/>
  <c r="H371" i="15"/>
  <c r="G371" i="15" s="1"/>
  <c r="I371" i="15" s="1"/>
  <c r="C372" i="15" s="1"/>
  <c r="H372" i="15" l="1"/>
  <c r="G372" i="15" s="1"/>
  <c r="I372" i="15" s="1"/>
  <c r="C373" i="15" s="1"/>
  <c r="H373" i="15" l="1"/>
  <c r="G373" i="15" s="1"/>
  <c r="I373" i="15" s="1"/>
  <c r="C374" i="15" s="1"/>
  <c r="H374" i="15" l="1"/>
  <c r="G374" i="15" s="1"/>
  <c r="I374" i="15" s="1"/>
  <c r="C375" i="15" s="1"/>
  <c r="H375" i="15" l="1"/>
  <c r="G375" i="15" s="1"/>
  <c r="I375" i="15" s="1"/>
  <c r="C376" i="15" s="1"/>
  <c r="H376" i="15" l="1"/>
  <c r="G376" i="15" s="1"/>
  <c r="I376" i="15" s="1"/>
  <c r="C377" i="15" s="1"/>
  <c r="D14" i="15" l="1"/>
  <c r="D15" i="15"/>
  <c r="H377" i="15"/>
  <c r="G377" i="15" s="1"/>
  <c r="I377" i="15" s="1"/>
  <c r="D13" i="15" s="1"/>
  <c r="B10" i="10" l="1"/>
  <c r="N12" i="9"/>
  <c r="N11" i="9"/>
  <c r="N22" i="9"/>
  <c r="N10" i="9"/>
  <c r="D22" i="9" s="1"/>
  <c r="N23" i="9"/>
  <c r="D12" i="9"/>
  <c r="D10" i="9"/>
  <c r="D19" i="9"/>
  <c r="D20" i="9"/>
  <c r="D21" i="9"/>
  <c r="C16" i="9"/>
  <c r="B13" i="10" l="1"/>
  <c r="B14" i="10" s="1"/>
  <c r="D2" i="9"/>
  <c r="D3" i="9" s="1"/>
  <c r="C88" i="9" l="1"/>
  <c r="F241" i="9"/>
  <c r="C241" i="9"/>
  <c r="F240" i="9"/>
  <c r="C240" i="9"/>
  <c r="F239" i="9"/>
  <c r="C239" i="9"/>
  <c r="F237" i="9"/>
  <c r="C237" i="9"/>
  <c r="F236" i="9"/>
  <c r="C236" i="9"/>
  <c r="F235" i="9"/>
  <c r="C235" i="9"/>
  <c r="F234" i="9"/>
  <c r="C234" i="9"/>
  <c r="F232" i="9"/>
  <c r="C232" i="9"/>
  <c r="F231" i="9"/>
  <c r="C231" i="9"/>
  <c r="F230" i="9"/>
  <c r="C230" i="9"/>
  <c r="F220" i="9"/>
  <c r="C220" i="9"/>
  <c r="F219" i="9"/>
  <c r="C219" i="9"/>
  <c r="F218" i="9"/>
  <c r="C218" i="9"/>
  <c r="F217" i="9"/>
  <c r="C217" i="9"/>
  <c r="F216" i="9"/>
  <c r="C216" i="9"/>
  <c r="F215" i="9"/>
  <c r="C215" i="9"/>
  <c r="F214" i="9"/>
  <c r="C214" i="9"/>
  <c r="F213" i="9"/>
  <c r="C213" i="9"/>
  <c r="F212" i="9"/>
  <c r="C212" i="9"/>
  <c r="F210" i="9"/>
  <c r="C210" i="9"/>
  <c r="F209" i="9"/>
  <c r="C209" i="9"/>
  <c r="F208" i="9"/>
  <c r="C208" i="9"/>
  <c r="F198" i="9"/>
  <c r="C198" i="9"/>
  <c r="F197" i="9"/>
  <c r="C197" i="9"/>
  <c r="F196" i="9"/>
  <c r="C196" i="9"/>
  <c r="F195" i="9"/>
  <c r="C195" i="9"/>
  <c r="F194" i="9"/>
  <c r="C194" i="9"/>
  <c r="F193" i="9"/>
  <c r="C193" i="9"/>
  <c r="F192" i="9"/>
  <c r="C192" i="9"/>
  <c r="F191" i="9"/>
  <c r="C191" i="9"/>
  <c r="F190" i="9"/>
  <c r="C190" i="9"/>
  <c r="F188" i="9"/>
  <c r="C188" i="9"/>
  <c r="F187" i="9"/>
  <c r="C187" i="9"/>
  <c r="F186" i="9"/>
  <c r="C186" i="9"/>
  <c r="F176" i="9"/>
  <c r="C176" i="9"/>
  <c r="F175" i="9"/>
  <c r="F174" i="9"/>
  <c r="C174" i="9"/>
  <c r="F173" i="9"/>
  <c r="C173" i="9"/>
  <c r="F172" i="9"/>
  <c r="C172" i="9"/>
  <c r="F171" i="9"/>
  <c r="C171" i="9"/>
  <c r="F170" i="9"/>
  <c r="C170" i="9"/>
  <c r="C168" i="9"/>
  <c r="F165" i="9"/>
  <c r="C165" i="9"/>
  <c r="F164" i="9"/>
  <c r="C164" i="9"/>
  <c r="C154" i="9"/>
  <c r="F153" i="9"/>
  <c r="F151" i="9"/>
  <c r="C151" i="9"/>
  <c r="F149" i="9"/>
  <c r="C149" i="9"/>
  <c r="F148" i="9"/>
  <c r="C148" i="9"/>
  <c r="C146" i="9"/>
  <c r="F142" i="9"/>
  <c r="F132" i="9"/>
  <c r="C131" i="9"/>
  <c r="C130" i="9"/>
  <c r="F129" i="9"/>
  <c r="C129" i="9"/>
  <c r="F128" i="9"/>
  <c r="C128" i="9"/>
  <c r="F127" i="9"/>
  <c r="C127" i="9"/>
  <c r="F126" i="9"/>
  <c r="C126" i="9"/>
  <c r="C125" i="9"/>
  <c r="C124" i="9"/>
  <c r="F122" i="9"/>
  <c r="C122" i="9"/>
  <c r="F121" i="9"/>
  <c r="C121" i="9"/>
  <c r="F120" i="9"/>
  <c r="C120" i="9"/>
  <c r="F110" i="9"/>
  <c r="C110" i="9"/>
  <c r="F108" i="9"/>
  <c r="C108" i="9"/>
  <c r="F107" i="9"/>
  <c r="C107" i="9"/>
  <c r="F106" i="9"/>
  <c r="C106" i="9"/>
  <c r="F105" i="9"/>
  <c r="C105" i="9"/>
  <c r="F104" i="9"/>
  <c r="C104" i="9"/>
  <c r="F102" i="9"/>
  <c r="C102" i="9"/>
  <c r="F98" i="9"/>
  <c r="C98" i="9"/>
  <c r="F88" i="9"/>
  <c r="F86" i="9"/>
  <c r="C86" i="9"/>
  <c r="F85" i="9"/>
  <c r="C85" i="9"/>
  <c r="F84" i="9"/>
  <c r="C84" i="9"/>
  <c r="F83" i="9"/>
  <c r="C83" i="9"/>
  <c r="F82" i="9"/>
  <c r="C82" i="9"/>
  <c r="C80" i="9"/>
  <c r="F77" i="9"/>
  <c r="C77" i="9"/>
  <c r="F76" i="9"/>
  <c r="C76" i="9"/>
  <c r="F66" i="9"/>
  <c r="F65" i="9"/>
  <c r="F64" i="9"/>
  <c r="C64" i="9"/>
  <c r="F63" i="9"/>
  <c r="C63" i="9"/>
  <c r="F62" i="9"/>
  <c r="C62" i="9"/>
  <c r="F61" i="9"/>
  <c r="C61" i="9"/>
  <c r="F60" i="9"/>
  <c r="C60" i="9"/>
  <c r="F59" i="9"/>
  <c r="C58" i="9"/>
  <c r="F56" i="9"/>
  <c r="C56" i="9"/>
  <c r="C55" i="9"/>
  <c r="F54" i="9"/>
  <c r="F44" i="9"/>
  <c r="C44" i="9"/>
  <c r="C41" i="9"/>
  <c r="F40" i="9"/>
  <c r="C40" i="9"/>
  <c r="F39" i="9"/>
  <c r="C39" i="9"/>
  <c r="F36" i="9"/>
  <c r="C36" i="9"/>
  <c r="F34" i="9"/>
  <c r="C34" i="9"/>
  <c r="F32" i="9"/>
  <c r="C32" i="9"/>
  <c r="I12" i="9"/>
  <c r="C10" i="9" s="1"/>
  <c r="C21" i="9"/>
  <c r="F10" i="9"/>
  <c r="C22" i="9"/>
  <c r="C14" i="9"/>
  <c r="C17" i="9"/>
  <c r="F12" i="9"/>
  <c r="C12" i="9"/>
  <c r="C20" i="9"/>
  <c r="C19" i="9"/>
  <c r="F18" i="9"/>
  <c r="F17" i="9"/>
  <c r="F16" i="9"/>
  <c r="B2" i="14"/>
  <c r="D3" i="14"/>
  <c r="C3" i="14"/>
  <c r="B3" i="14"/>
  <c r="D252" i="9"/>
  <c r="C252" i="9" s="1"/>
  <c r="D253" i="9"/>
  <c r="D254" i="9"/>
  <c r="C258" i="9"/>
  <c r="D256" i="9"/>
  <c r="C257" i="9"/>
  <c r="D263" i="9"/>
  <c r="D262" i="9"/>
  <c r="C262" i="9" s="1"/>
  <c r="D261" i="9"/>
  <c r="B5" i="11"/>
  <c r="F7" i="11" s="1"/>
  <c r="T231" i="9"/>
  <c r="F238" i="9" s="1"/>
  <c r="F242" i="9" l="1"/>
  <c r="D264" i="9"/>
  <c r="R230" i="9"/>
  <c r="C238" i="9" s="1"/>
  <c r="C242" i="9"/>
  <c r="E202" i="9"/>
  <c r="F154" i="9" l="1"/>
  <c r="C132" i="9"/>
  <c r="F264" i="9"/>
  <c r="C264" i="9"/>
  <c r="F263" i="9"/>
  <c r="C263" i="9"/>
  <c r="F262" i="9"/>
  <c r="F261" i="9"/>
  <c r="C261" i="9"/>
  <c r="F260" i="9"/>
  <c r="C260" i="9"/>
  <c r="F259" i="9"/>
  <c r="C259" i="9"/>
  <c r="F258" i="9"/>
  <c r="F257" i="9"/>
  <c r="C256" i="9"/>
  <c r="F254" i="9"/>
  <c r="C254" i="9"/>
  <c r="F253" i="9"/>
  <c r="C253" i="9"/>
  <c r="F252" i="9"/>
  <c r="C244" i="9"/>
  <c r="F150" i="9" l="1"/>
  <c r="C150" i="9"/>
  <c r="C243" i="9"/>
  <c r="T266" i="9"/>
  <c r="R266" i="9"/>
  <c r="P266" i="9"/>
  <c r="N266" i="9"/>
  <c r="T244" i="9"/>
  <c r="R244" i="9"/>
  <c r="P244" i="9"/>
  <c r="N244" i="9"/>
  <c r="T222" i="9"/>
  <c r="R222" i="9"/>
  <c r="P222" i="9"/>
  <c r="N222" i="9"/>
  <c r="T200" i="9"/>
  <c r="R200" i="9"/>
  <c r="P200" i="9"/>
  <c r="N200" i="9"/>
  <c r="T178" i="9"/>
  <c r="R178" i="9"/>
  <c r="P178" i="9"/>
  <c r="N178" i="9"/>
  <c r="T156" i="9"/>
  <c r="R156" i="9"/>
  <c r="P156" i="9"/>
  <c r="N156" i="9"/>
  <c r="T134" i="9"/>
  <c r="R134" i="9"/>
  <c r="P134" i="9"/>
  <c r="N134" i="9"/>
  <c r="T112" i="9"/>
  <c r="R112" i="9"/>
  <c r="P112" i="9"/>
  <c r="N112" i="9"/>
  <c r="T90" i="9"/>
  <c r="R90" i="9"/>
  <c r="P90" i="9"/>
  <c r="N90" i="9"/>
  <c r="T68" i="9"/>
  <c r="R68" i="9"/>
  <c r="P68" i="9"/>
  <c r="N68" i="9"/>
  <c r="C112" i="9"/>
  <c r="T46" i="9"/>
  <c r="R46" i="9"/>
  <c r="N179" i="9" l="1"/>
  <c r="R91" i="9"/>
  <c r="R179" i="9"/>
  <c r="R223" i="9"/>
  <c r="N223" i="9"/>
  <c r="N267" i="9"/>
  <c r="R113" i="9"/>
  <c r="N135" i="9"/>
  <c r="R135" i="9"/>
  <c r="R69" i="9"/>
  <c r="R245" i="9"/>
  <c r="R267" i="9"/>
  <c r="N245" i="9"/>
  <c r="N201" i="9"/>
  <c r="N157" i="9"/>
  <c r="R201" i="9"/>
  <c r="R157" i="9"/>
  <c r="N113" i="9"/>
  <c r="N69" i="9"/>
  <c r="N91" i="9"/>
  <c r="R47" i="9"/>
  <c r="T24" i="9"/>
  <c r="R24" i="9"/>
  <c r="R25" i="9" l="1"/>
  <c r="K45" i="9"/>
  <c r="I45" i="9" l="1"/>
  <c r="I47" i="9" s="1"/>
  <c r="N46" i="9" l="1"/>
  <c r="F46" i="9" l="1"/>
  <c r="F45" i="9"/>
  <c r="F47" i="9" s="1"/>
  <c r="C45" i="9"/>
  <c r="C46" i="9"/>
  <c r="N5" i="9"/>
  <c r="E71" i="9"/>
  <c r="G71" i="9" s="1"/>
  <c r="K47" i="9" l="1"/>
  <c r="C47" i="9"/>
  <c r="F90" i="9" l="1"/>
  <c r="C90" i="9" l="1"/>
  <c r="C89" i="9"/>
  <c r="C23" i="9"/>
  <c r="N24" i="9"/>
  <c r="K23" i="9"/>
  <c r="I23" i="9"/>
  <c r="P46" i="9"/>
  <c r="C67" i="9"/>
  <c r="F67" i="9"/>
  <c r="K67" i="9"/>
  <c r="I67" i="9"/>
  <c r="K89" i="9"/>
  <c r="I89" i="9"/>
  <c r="F89" i="9"/>
  <c r="F112" i="9"/>
  <c r="F111" i="9"/>
  <c r="C111" i="9"/>
  <c r="K111" i="9"/>
  <c r="I111" i="9"/>
  <c r="C134" i="9"/>
  <c r="F134" i="9"/>
  <c r="F133" i="9"/>
  <c r="K133" i="9"/>
  <c r="I133" i="9"/>
  <c r="C133" i="9"/>
  <c r="F156" i="9"/>
  <c r="C156" i="9"/>
  <c r="F155" i="9"/>
  <c r="C155" i="9"/>
  <c r="K155" i="9"/>
  <c r="I155" i="9"/>
  <c r="C178" i="9"/>
  <c r="F178" i="9"/>
  <c r="F177" i="9"/>
  <c r="K177" i="9"/>
  <c r="I177" i="9"/>
  <c r="C177" i="9"/>
  <c r="F200" i="9"/>
  <c r="C200" i="9"/>
  <c r="F199" i="9"/>
  <c r="C199" i="9"/>
  <c r="K199" i="9"/>
  <c r="I199" i="9"/>
  <c r="C222" i="9"/>
  <c r="K221" i="9"/>
  <c r="I221" i="9"/>
  <c r="F221" i="9"/>
  <c r="C221" i="9"/>
  <c r="C69" i="9" l="1"/>
  <c r="K157" i="9"/>
  <c r="K179" i="9"/>
  <c r="C25" i="9"/>
  <c r="C223" i="9"/>
  <c r="I223" i="9"/>
  <c r="K223" i="9"/>
  <c r="F223" i="9"/>
  <c r="K201" i="9"/>
  <c r="K135" i="9"/>
  <c r="K113" i="9"/>
  <c r="F201" i="9"/>
  <c r="F179" i="9"/>
  <c r="F157" i="9"/>
  <c r="K91" i="9"/>
  <c r="F68" i="9"/>
  <c r="K69" i="9"/>
  <c r="N47" i="9"/>
  <c r="C24" i="9"/>
  <c r="I25" i="9"/>
  <c r="I69" i="9"/>
  <c r="F69" i="9"/>
  <c r="C68" i="9"/>
  <c r="C91" i="9"/>
  <c r="I91" i="9"/>
  <c r="F91" i="9"/>
  <c r="C113" i="9"/>
  <c r="I113" i="9"/>
  <c r="F113" i="9"/>
  <c r="C135" i="9"/>
  <c r="I135" i="9"/>
  <c r="F135" i="9"/>
  <c r="C157" i="9"/>
  <c r="I157" i="9"/>
  <c r="C179" i="9"/>
  <c r="I179" i="9"/>
  <c r="C201" i="9"/>
  <c r="I201" i="9"/>
  <c r="F222" i="9"/>
  <c r="G179" i="9" l="1"/>
  <c r="G201" i="9"/>
  <c r="G223" i="9"/>
  <c r="G157" i="9"/>
  <c r="G47" i="9"/>
  <c r="G69" i="9"/>
  <c r="G91" i="9"/>
  <c r="G113" i="9"/>
  <c r="G135" i="9"/>
  <c r="I265" i="9" l="1"/>
  <c r="C266" i="9"/>
  <c r="I243" i="9"/>
  <c r="C245" i="9" s="1"/>
  <c r="K265" i="9"/>
  <c r="F266" i="9"/>
  <c r="K243" i="9"/>
  <c r="F244" i="9"/>
  <c r="X46" i="9"/>
  <c r="W46" i="9"/>
  <c r="Y46" i="9" l="1"/>
  <c r="F243" i="9"/>
  <c r="F245" i="9" s="1"/>
  <c r="I245" i="9"/>
  <c r="F265" i="9"/>
  <c r="F267" i="9" s="1"/>
  <c r="I267" i="9"/>
  <c r="C265" i="9"/>
  <c r="N2" i="9" l="1"/>
  <c r="K267" i="9"/>
  <c r="C267" i="9"/>
  <c r="G267" i="9" s="1"/>
  <c r="K245" i="9" l="1"/>
  <c r="G245" i="9"/>
  <c r="F24" i="9" l="1"/>
  <c r="F23" i="9"/>
  <c r="K25" i="9" s="1"/>
  <c r="N3" i="9" s="1"/>
  <c r="N4" i="9" s="1"/>
  <c r="P24" i="9"/>
  <c r="N25" i="9" s="1"/>
  <c r="F25" i="9" l="1"/>
  <c r="G25" i="9" s="1"/>
  <c r="G2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tc={F27EE925-EDCC-41ED-BF9B-26F960C7B14A}</author>
  </authors>
  <commentList>
    <comment ref="F17" authorId="0" shapeId="0" xr:uid="{F27EE925-EDCC-41ED-BF9B-26F960C7B14A}">
      <text>
        <t>[Threaded comment]
Your version of Excel allows you to read this threaded comment; however, any edits to it will get removed if the file is opened in a newer version of Excel. Learn more: https://go.microsoft.com/fwlink/?linkid=870924
Comment:
    Pago mensual, por 6 meses</t>
      </text>
    </comment>
  </commentList>
</comments>
</file>

<file path=xl/sharedStrings.xml><?xml version="1.0" encoding="utf-8"?>
<sst xmlns="http://schemas.openxmlformats.org/spreadsheetml/2006/main" count="1190" uniqueCount="333">
  <si>
    <t>Resumen Anual</t>
  </si>
  <si>
    <t>Ingresos Anual</t>
  </si>
  <si>
    <t>Gastos Anual</t>
  </si>
  <si>
    <t>Restante Anual</t>
  </si>
  <si>
    <t>Ahorros Anual</t>
  </si>
  <si>
    <t>Gastos Mes Enero</t>
  </si>
  <si>
    <t>Detalles Gastos Extras</t>
  </si>
  <si>
    <t>Compras extras</t>
  </si>
  <si>
    <t>Quincena 1</t>
  </si>
  <si>
    <t>Quincena 2</t>
  </si>
  <si>
    <t>Articulo</t>
  </si>
  <si>
    <t>Precio</t>
  </si>
  <si>
    <t>Status</t>
  </si>
  <si>
    <t>Gastos</t>
  </si>
  <si>
    <t>Ingresos</t>
  </si>
  <si>
    <t>Pending</t>
  </si>
  <si>
    <t>Diezmo</t>
  </si>
  <si>
    <t>Comida</t>
  </si>
  <si>
    <t>Gasolina</t>
  </si>
  <si>
    <t>Ahorros</t>
  </si>
  <si>
    <t>Luz</t>
  </si>
  <si>
    <t>Internet</t>
  </si>
  <si>
    <t>Agua</t>
  </si>
  <si>
    <t>Gastos Extras</t>
  </si>
  <si>
    <t>Total Gastos 1</t>
  </si>
  <si>
    <t>Total Gastos 2</t>
  </si>
  <si>
    <t>Quedan mes:</t>
  </si>
  <si>
    <t>Total Ingresos</t>
  </si>
  <si>
    <t>Total Por Pagar</t>
  </si>
  <si>
    <t>Total</t>
  </si>
  <si>
    <t>Quedan 1</t>
  </si>
  <si>
    <t>Quedan 2</t>
  </si>
  <si>
    <t>Total ingresos del mes</t>
  </si>
  <si>
    <t>Total Gastos del mes</t>
  </si>
  <si>
    <t>Total General</t>
  </si>
  <si>
    <t>Ingresos Mes Febrero</t>
  </si>
  <si>
    <t>Gastos Hogar</t>
  </si>
  <si>
    <t>Gastos Mes Marzo</t>
  </si>
  <si>
    <t>Ingresos Mes Marzo</t>
  </si>
  <si>
    <t>Gastos Mes Abril</t>
  </si>
  <si>
    <t>Ingresos Mes Abril</t>
  </si>
  <si>
    <t>Gastos Mes Mayo</t>
  </si>
  <si>
    <t>Ingresos Mes Mayo</t>
  </si>
  <si>
    <t>Gastos Mes Junio</t>
  </si>
  <si>
    <t>Gastos Mes Julio</t>
  </si>
  <si>
    <t>Ingresos Mes Julio</t>
  </si>
  <si>
    <t>Gastos Mes Agosto</t>
  </si>
  <si>
    <t>Ingresos Mes Agosto</t>
  </si>
  <si>
    <t>Gastos Mes Septiembre</t>
  </si>
  <si>
    <t>Ingresos Mes Septiembre</t>
  </si>
  <si>
    <t>Gastos Mes Octubre</t>
  </si>
  <si>
    <t>Ingresos Mes Octubre</t>
  </si>
  <si>
    <t>Gastos Mes Noviembre</t>
  </si>
  <si>
    <t>Ingresos Mes Noviembre</t>
  </si>
  <si>
    <t>Gastos Mes Diciembre</t>
  </si>
  <si>
    <t>Ingresos Mes Diciembre</t>
  </si>
  <si>
    <t>Ingresos Mes Junio</t>
  </si>
  <si>
    <t>Medico</t>
  </si>
  <si>
    <t>Basura</t>
  </si>
  <si>
    <t>Mes</t>
  </si>
  <si>
    <t>Regalo Padres</t>
  </si>
  <si>
    <t>Administradora</t>
  </si>
  <si>
    <t>Detalles Medicos</t>
  </si>
  <si>
    <t>Ingresos Mes Enero</t>
  </si>
  <si>
    <t>Nomina yor</t>
  </si>
  <si>
    <t>Mesada Yor</t>
  </si>
  <si>
    <t>Mesada Yis</t>
  </si>
  <si>
    <t>Salida</t>
  </si>
  <si>
    <t>Microsoft</t>
  </si>
  <si>
    <t>Primeros auxilos carro</t>
  </si>
  <si>
    <t>Radio y camara carro</t>
  </si>
  <si>
    <t>Ventanas Baños</t>
  </si>
  <si>
    <t>Opciones</t>
  </si>
  <si>
    <t>Inicial</t>
  </si>
  <si>
    <t>Abono Inicial</t>
  </si>
  <si>
    <t>Prestamo</t>
  </si>
  <si>
    <t>Metros</t>
  </si>
  <si>
    <t>Habitaciones</t>
  </si>
  <si>
    <t>Baños</t>
  </si>
  <si>
    <t>Parqueos</t>
  </si>
  <si>
    <t>Llave Ducha</t>
  </si>
  <si>
    <t>Cuadro ventana sala</t>
  </si>
  <si>
    <t>Puerta corrediza del otro baño</t>
  </si>
  <si>
    <t>Juego de cubiertos y cuchillos</t>
  </si>
  <si>
    <t>Organizadores de cocina abajo derecha</t>
  </si>
  <si>
    <t>Netflix</t>
  </si>
  <si>
    <t>Popular</t>
  </si>
  <si>
    <t>Dinero</t>
  </si>
  <si>
    <t>Efectivo</t>
  </si>
  <si>
    <t>Deuda</t>
  </si>
  <si>
    <t>Reservas</t>
  </si>
  <si>
    <t>ScotiaBank</t>
  </si>
  <si>
    <t>Done</t>
  </si>
  <si>
    <t>Enero</t>
  </si>
  <si>
    <t>Corrector de postura</t>
  </si>
  <si>
    <t>Pendiente Quincena</t>
  </si>
  <si>
    <t>ChatGpt</t>
  </si>
  <si>
    <t>Consulta Pediatra</t>
  </si>
  <si>
    <t>Plan Celular Yorki</t>
  </si>
  <si>
    <t>OpenAI</t>
  </si>
  <si>
    <t>Limpiar alfombra sala</t>
  </si>
  <si>
    <t>Lavar muebles</t>
  </si>
  <si>
    <t>Reparar estufa</t>
  </si>
  <si>
    <t>Arreglar las Tvs</t>
  </si>
  <si>
    <t>Comprar cortinas black out cuarto Josué</t>
  </si>
  <si>
    <t>Tetero para café</t>
  </si>
  <si>
    <t>Repara pata comedor</t>
  </si>
  <si>
    <t>Sin definir</t>
  </si>
  <si>
    <t>Gastos Mes Febrero</t>
  </si>
  <si>
    <t>Prestamo Scotiabank</t>
  </si>
  <si>
    <t>Prestamo Scotia</t>
  </si>
  <si>
    <t>Plan Celular Yisel</t>
  </si>
  <si>
    <t>Picota Talo</t>
  </si>
  <si>
    <t>Banco</t>
  </si>
  <si>
    <t>Tasa</t>
  </si>
  <si>
    <t>Cuota</t>
  </si>
  <si>
    <t>FijaHasta</t>
  </si>
  <si>
    <t>Fecha De finalizacion</t>
  </si>
  <si>
    <t>Monto</t>
  </si>
  <si>
    <t>Picota Danny</t>
  </si>
  <si>
    <t>Scotia USD</t>
  </si>
  <si>
    <t>Fecha de pago prox</t>
  </si>
  <si>
    <t>Marcelino</t>
  </si>
  <si>
    <t>Ojos Josue</t>
  </si>
  <si>
    <t>Sonografia</t>
  </si>
  <si>
    <t>Picapollo</t>
  </si>
  <si>
    <t>Scotia</t>
  </si>
  <si>
    <t>Fecha de corte</t>
  </si>
  <si>
    <t>Scotiabank</t>
  </si>
  <si>
    <t>Qik</t>
  </si>
  <si>
    <t>Crema y antialergico Josue</t>
  </si>
  <si>
    <t>Aceite de oregano</t>
  </si>
  <si>
    <t>Univanu vacuna viruela josue</t>
  </si>
  <si>
    <t>Vacuna Influenza yis y yor</t>
  </si>
  <si>
    <t>Cedimat Otorrino</t>
  </si>
  <si>
    <t>Cafeteria</t>
  </si>
  <si>
    <t>Cedimat analiticas</t>
  </si>
  <si>
    <t>Cedimat Tomografia</t>
  </si>
  <si>
    <t>Amazon</t>
  </si>
  <si>
    <t>Sprays Nasales yis</t>
  </si>
  <si>
    <t>Entrega resultado Otorrino yisel</t>
  </si>
  <si>
    <t>Fem 3.5</t>
  </si>
  <si>
    <t>Prenosil otorrino</t>
  </si>
  <si>
    <t>Peso</t>
  </si>
  <si>
    <t>Lugar</t>
  </si>
  <si>
    <t>Facebook</t>
  </si>
  <si>
    <t>Monto Prestamo</t>
  </si>
  <si>
    <t>Danny Picota</t>
  </si>
  <si>
    <t>Reparacion Tucson (Tarjeta)</t>
  </si>
  <si>
    <t>Comida+pampers</t>
  </si>
  <si>
    <t>Comida+Pañales</t>
  </si>
  <si>
    <t>Interior profundo vehiculo</t>
  </si>
  <si>
    <t>Lavado debajo vehiculo</t>
  </si>
  <si>
    <t>Brillado y encerado vehiculo</t>
  </si>
  <si>
    <t>Devolucion Playa Talo</t>
  </si>
  <si>
    <t>Cobran en tarjeta scotiabank</t>
  </si>
  <si>
    <t>Last Update</t>
  </si>
  <si>
    <t>Lamparas, base pintura, bizcochos, Pieza Secadora</t>
  </si>
  <si>
    <t>Teriyaki y compotas y picapollo x2</t>
  </si>
  <si>
    <t>Gatorade, bizcocho x3 y crossaintx2</t>
  </si>
  <si>
    <t>Jorge reye josue</t>
  </si>
  <si>
    <t>Netflix y puerta josue</t>
  </si>
  <si>
    <t>Microsoft, OpenAi</t>
  </si>
  <si>
    <t>Minaya Articulos varios</t>
  </si>
  <si>
    <t>En los bancos suelen prestar un 30% de tu poder de endeudamiento, por lo que se deberia calcular ese monto para saber cuanto te podria prestar un banco con tu salario actual, por lo que debo crear un plan para que me depositen todo lo que pueda en la cuenta de scotia y de esa forma crear un rastro salarial que me permita pedir un prestamo mas alto, con lo que danny me deposita y lo que me depositan de rivia</t>
  </si>
  <si>
    <t>Rivia talo</t>
  </si>
  <si>
    <t>Danny mensual</t>
  </si>
  <si>
    <t>Total salario mensual</t>
  </si>
  <si>
    <t>Prestamo scotia</t>
  </si>
  <si>
    <t>Prestamo tagui</t>
  </si>
  <si>
    <t>30% poder endeudamiento</t>
  </si>
  <si>
    <t>Poder de endeudamiento actual</t>
  </si>
  <si>
    <t xml:space="preserve"> &lt;-- Deuda Posible al pedir algun prestamo sin deudas pendientes</t>
  </si>
  <si>
    <t xml:space="preserve"> &lt;-- Deuda Posible al pedir algun prestamo actualmente</t>
  </si>
  <si>
    <t>Calculadora de préstamos con pagos extra</t>
  </si>
  <si>
    <t>Escriba los valores</t>
  </si>
  <si>
    <t>Instrucciones</t>
  </si>
  <si>
    <t>Importe del préstamo</t>
  </si>
  <si>
    <t>Debe tener entre 1 y 30 años.</t>
  </si>
  <si>
    <t>Interés anual</t>
  </si>
  <si>
    <t>Si los pagos extra varían, escríbalos en la tabla siguiente.</t>
  </si>
  <si>
    <t>Período del préstamo en años</t>
  </si>
  <si>
    <t>Fecha inicial del préstamo</t>
  </si>
  <si>
    <t>Pagos extra opcionales</t>
  </si>
  <si>
    <t>Pago mensual programado</t>
  </si>
  <si>
    <t>Número de pagos programados</t>
  </si>
  <si>
    <t>Número real de pagos</t>
  </si>
  <si>
    <t>Total de pagos anticipados</t>
  </si>
  <si>
    <t>Interés total</t>
  </si>
  <si>
    <t>No.</t>
  </si>
  <si>
    <t>Fecha del pago</t>
  </si>
  <si>
    <t>Balance inicial</t>
  </si>
  <si>
    <t>Pago programado</t>
  </si>
  <si>
    <t>Pago extra</t>
  </si>
  <si>
    <t>Pago total</t>
  </si>
  <si>
    <t>Capital</t>
  </si>
  <si>
    <t>Interés</t>
  </si>
  <si>
    <t>Balance final</t>
  </si>
  <si>
    <t>Ecos Premium</t>
  </si>
  <si>
    <t>Ecos Residences</t>
  </si>
  <si>
    <t>Ecos Fit</t>
  </si>
  <si>
    <t>Fecha de entrega</t>
  </si>
  <si>
    <t>Pago tasa 14%</t>
  </si>
  <si>
    <t>Pago de inicial</t>
  </si>
  <si>
    <t>Ecos Garden</t>
  </si>
  <si>
    <t>Dic 2026</t>
  </si>
  <si>
    <t>Feb 2027</t>
  </si>
  <si>
    <t>Nov 2026</t>
  </si>
  <si>
    <t>-</t>
  </si>
  <si>
    <t>Poder de endeudamiento en prestamo a 14%</t>
  </si>
  <si>
    <t>Inicial a x meses</t>
  </si>
  <si>
    <t>Tasa Hipotecaria</t>
  </si>
  <si>
    <t>Salario</t>
  </si>
  <si>
    <t>Link</t>
  </si>
  <si>
    <t>https://www.instagram.com/p/DSkWhLgjkYP/</t>
  </si>
  <si>
    <t>https://ecosresidences.com/</t>
  </si>
  <si>
    <t>Paseo del paraiso (solares)</t>
  </si>
  <si>
    <t>Location</t>
  </si>
  <si>
    <t>18°33'29"N 69°52'52"W</t>
  </si>
  <si>
    <t>https://ciudaddellago.com.do/</t>
  </si>
  <si>
    <t>Ciudad Del Lago (solar)</t>
  </si>
  <si>
    <t>18°34'49.3"N 69°51'54.2"W</t>
  </si>
  <si>
    <t>Alberta y jugos coro</t>
  </si>
  <si>
    <t>Tela Cortinas</t>
  </si>
  <si>
    <t>Lavado de alfombra</t>
  </si>
  <si>
    <t>Donas</t>
  </si>
  <si>
    <t>Planta Ikea</t>
  </si>
  <si>
    <t>Regleta</t>
  </si>
  <si>
    <t>Amazon aquaBlis, Cerave y cogines,firestick, spray cabello y peine plancha y transporte</t>
  </si>
  <si>
    <t>Spray Nasales Yisel</t>
  </si>
  <si>
    <t>Domino Pizza</t>
  </si>
  <si>
    <t>Tapado de gomaz x2</t>
  </si>
  <si>
    <t>Deuda Meses Anteriores</t>
  </si>
  <si>
    <t>HairPlus</t>
  </si>
  <si>
    <t>Agua destilada</t>
  </si>
  <si>
    <t>Spray Nasal josue</t>
  </si>
  <si>
    <t>Spray Nasal Yisel</t>
  </si>
  <si>
    <t xml:space="preserve">Uber </t>
  </si>
  <si>
    <t>Amazon crema, cepillo y fundas safacon</t>
  </si>
  <si>
    <t>Terijaki, pizza, hummus, picapollo</t>
  </si>
  <si>
    <t>Mueles yisel</t>
  </si>
  <si>
    <t xml:space="preserve"> </t>
  </si>
  <si>
    <t>Bono Ley</t>
  </si>
  <si>
    <t>Seguro</t>
  </si>
  <si>
    <t>Impuesto transferencia</t>
  </si>
  <si>
    <t>PrintCity</t>
  </si>
  <si>
    <t>Aporte Bebes TU</t>
  </si>
  <si>
    <t>Devolucion Ahorros</t>
  </si>
  <si>
    <t>Netflix, Microsoft y OpenAI</t>
  </si>
  <si>
    <t>Zapato y cambiador josue</t>
  </si>
  <si>
    <t>Los Hidalgos crema</t>
  </si>
  <si>
    <t>Juguetes Josue Aliss y Mi Gusto</t>
  </si>
  <si>
    <t>Devolucion Yisel</t>
  </si>
  <si>
    <t>Renew terapia 1</t>
  </si>
  <si>
    <t>Renew terapia 4</t>
  </si>
  <si>
    <t>Renew terapia 5</t>
  </si>
  <si>
    <t>Renew terapia 2</t>
  </si>
  <si>
    <t>Renew terapia 3</t>
  </si>
  <si>
    <t>Renew terapia 6--23</t>
  </si>
  <si>
    <t>Renew terapia 7--24</t>
  </si>
  <si>
    <t>Renew terapia 8--30</t>
  </si>
  <si>
    <t>Renew terapia 9--1</t>
  </si>
  <si>
    <t>Renew terapia 10--3</t>
  </si>
  <si>
    <t>Renew terapia 11--6</t>
  </si>
  <si>
    <t>Renew terapia 12--8</t>
  </si>
  <si>
    <t>Renew terapia 13--10</t>
  </si>
  <si>
    <t>Renew terapia 14--13</t>
  </si>
  <si>
    <t>Renew terapia 15--15</t>
  </si>
  <si>
    <t>Plan Celular Yorki y Yise</t>
  </si>
  <si>
    <t>Maquina Terapia y nitrobullet</t>
  </si>
  <si>
    <t>Cortinas amelia</t>
  </si>
  <si>
    <t>Shein Josue</t>
  </si>
  <si>
    <t>Carol Sprays, Jabon Intimo y agua destilada Yise</t>
  </si>
  <si>
    <t>Mesada Padres</t>
  </si>
  <si>
    <t>habichuela</t>
  </si>
  <si>
    <t>jugo y browni</t>
  </si>
  <si>
    <t>Botellon de agua</t>
  </si>
  <si>
    <t>Analisis yorki</t>
  </si>
  <si>
    <t>Empanadas</t>
  </si>
  <si>
    <t>Renew Terapia yisel</t>
  </si>
  <si>
    <t>Seguimiento Fisiatria</t>
  </si>
  <si>
    <t>Comprar camacuna josué</t>
  </si>
  <si>
    <t>Juego de sabanas de algodon</t>
  </si>
  <si>
    <t>Febrero</t>
  </si>
  <si>
    <t>Limpia vidrios, afiches</t>
  </si>
  <si>
    <t>Cynedol acetaminofen para fiebre</t>
  </si>
  <si>
    <t>Terijaki, helado y bizcocho</t>
  </si>
  <si>
    <t>Terijaki y bizcocho</t>
  </si>
  <si>
    <t>Gas, taxi</t>
  </si>
  <si>
    <t>Farmacia patrizo</t>
  </si>
  <si>
    <t>Renew</t>
  </si>
  <si>
    <t>Amadita embarazo</t>
  </si>
  <si>
    <t>Max Postres</t>
  </si>
  <si>
    <t>Despensa</t>
  </si>
  <si>
    <t>vacuna josue</t>
  </si>
  <si>
    <t>picapollo victorina</t>
  </si>
  <si>
    <t>terijakik</t>
  </si>
  <si>
    <t>helado</t>
  </si>
  <si>
    <t>Wendy's desayuno</t>
  </si>
  <si>
    <t>Fecha de actualizacion:</t>
  </si>
  <si>
    <t>Fecha de creacion:</t>
  </si>
  <si>
    <t>Pago amazon cell y jabones</t>
  </si>
  <si>
    <t>Statement balance USD</t>
  </si>
  <si>
    <t>Statement balance RD</t>
  </si>
  <si>
    <t>Fecha de pago limite</t>
  </si>
  <si>
    <t xml:space="preserve">Pago2 </t>
  </si>
  <si>
    <t>Pago3</t>
  </si>
  <si>
    <t>Deuda-pagado</t>
  </si>
  <si>
    <t>Fecha de pago</t>
  </si>
  <si>
    <t>16 de cada mes</t>
  </si>
  <si>
    <t>Freidora de aire</t>
  </si>
  <si>
    <t>Cremas Josue, esponja y demas</t>
  </si>
  <si>
    <t>Prestamo Jorge</t>
  </si>
  <si>
    <t>Ofrenda Iglesia</t>
  </si>
  <si>
    <t>Alfombra vehiculo mama</t>
  </si>
  <si>
    <t>Gas</t>
  </si>
  <si>
    <t>Gastos varios</t>
  </si>
  <si>
    <t>Dushi Yui comida</t>
  </si>
  <si>
    <t>Adaptador de inodoro josue</t>
  </si>
  <si>
    <t>Juguetes iteractivos</t>
  </si>
  <si>
    <t>Dash cam Camara vehiculo</t>
  </si>
  <si>
    <t>Pago4</t>
  </si>
  <si>
    <t>Pago5</t>
  </si>
  <si>
    <t>Deuda Total</t>
  </si>
  <si>
    <t>Seguimiento Statement Balance</t>
  </si>
  <si>
    <t>Pago6</t>
  </si>
  <si>
    <t>Pago8</t>
  </si>
  <si>
    <t>Pago7</t>
  </si>
  <si>
    <t>Fecha de Pago 10 Agosto</t>
  </si>
  <si>
    <t>Pago1-7/18/2026</t>
  </si>
  <si>
    <t>Deuda Tarjeta</t>
  </si>
  <si>
    <t>servicio.ri.gob.do/ConsultaParcelaria</t>
  </si>
  <si>
    <t>Prestamo jorge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</si>
</sst>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7" formatCode="&quot;$&quot;#,##0.00_);\(&quot;$&quot;#,##0.00\)"/>
    <numFmt numFmtId="8" formatCode="&quot;$&quot;#,##0.00_);[Red]\(&quot;$&quot;#,##0.00\)"/>
    <numFmt numFmtId="44" formatCode="_(&quot;$&quot;* #,##0.00_);_(&quot;$&quot;* \(#,##0.00\);_(&quot;$&quot;* &quot;-&quot;??_);_(@_)"/>
    <numFmt numFmtId="164" formatCode="&quot;$&quot;#,##0.00&quot; &quot;;&quot;$&quot;&quot;(&quot;#,##0.00&quot;)&quot;;&quot;$&quot;&quot;-&quot;#&quot; &quot;;@&quot; &quot;"/>
    <numFmt numFmtId="165" formatCode="[$$-409]#,##0.00;[Red]&quot;-&quot;[$$-409]#,##0.00"/>
    <numFmt numFmtId="166" formatCode="&quot;$&quot;#,##0"/>
    <numFmt numFmtId="167" formatCode="mm\.dd\.yy;@"/>
    <numFmt numFmtId="168" formatCode="[$DOP]\ #,##0_);\([$DOP]\ #,##0\)"/>
    <numFmt numFmtId="169" formatCode="0.0"/>
    <numFmt numFmtId="170" formatCode="[$-F800]dddd\,\ mmmm\ dd\,\ yyyy"/>
    <numFmt numFmtId="171" formatCode="_(&quot;€&quot;* #,##0.00_);_(&quot;€&quot;* \(#,##0.00\);_(&quot;€&quot;* &quot;-&quot;??_);_(@_)"/>
    <numFmt numFmtId="172" formatCode="0.000%"/>
    <numFmt numFmtId="173" formatCode="\Fe\ch\a\ \c\o\r\t\a"/>
    <numFmt numFmtId="174" formatCode="&quot;$&quot;#,##0.00"/>
    <numFmt numFmtId="175" formatCode="#,##0.00;\-#,##0.00"/>
    <numFmt numFmtId="176" formatCode="yyyy\-mm\-dd;@"/>
  </numFmts>
  <fonts count="39">
    <font>
      <sz val="11"/>
      <color theme="1"/>
      <name val="Arial1"/>
    </font>
    <font>
      <sz val="11"/>
      <color rgb="FFFFFFFF"/>
      <name val="Arial"/>
      <family val="2"/>
    </font>
    <font>
      <sz val="11"/>
      <color rgb="FF000000"/>
      <name val="Calibri"/>
      <family val="2"/>
    </font>
    <font>
      <sz val="11"/>
      <color rgb="FFFFFFFF"/>
      <name val="Arial1"/>
    </font>
    <font>
      <b/>
      <i/>
      <sz val="16"/>
      <color theme="1"/>
      <name val="Arial1"/>
    </font>
    <font>
      <b/>
      <i/>
      <u/>
      <sz val="11"/>
      <color theme="1"/>
      <name val="Arial1"/>
    </font>
    <font>
      <b/>
      <sz val="20"/>
      <color theme="1"/>
      <name val="Arial1"/>
    </font>
    <font>
      <b/>
      <sz val="14"/>
      <color theme="1"/>
      <name val="Arial1"/>
    </font>
    <font>
      <sz val="20"/>
      <color theme="1"/>
      <name val="Arial1"/>
    </font>
    <font>
      <b/>
      <sz val="11"/>
      <color theme="1"/>
      <name val="Arial1"/>
    </font>
    <font>
      <b/>
      <sz val="15"/>
      <color rgb="FF000000"/>
      <name val="Calibri"/>
      <family val="2"/>
    </font>
    <font>
      <b/>
      <sz val="18"/>
      <color rgb="FF000000"/>
      <name val="Calibri"/>
      <family val="2"/>
    </font>
    <font>
      <b/>
      <sz val="13"/>
      <color rgb="FF000000"/>
      <name val="Calibri"/>
      <family val="2"/>
    </font>
    <font>
      <b/>
      <sz val="11"/>
      <color rgb="FF000000"/>
      <name val="Calibri"/>
      <family val="2"/>
    </font>
    <font>
      <b/>
      <sz val="16"/>
      <color rgb="FF000000"/>
      <name val="Calibri"/>
      <family val="2"/>
    </font>
    <font>
      <sz val="10"/>
      <name val="Arial"/>
      <family val="2"/>
    </font>
    <font>
      <b/>
      <sz val="11"/>
      <color theme="0"/>
      <name val="Calibri"/>
      <family val="2"/>
      <scheme val="minor"/>
    </font>
    <font>
      <sz val="11"/>
      <color theme="0"/>
      <name val="Calibri"/>
      <family val="2"/>
      <scheme val="minor"/>
    </font>
    <font>
      <sz val="11"/>
      <color theme="1" tint="0.34998626667073579"/>
      <name val="Calibri"/>
      <family val="2"/>
      <scheme val="minor"/>
    </font>
    <font>
      <b/>
      <sz val="18"/>
      <color theme="1" tint="0.34998626667073579"/>
      <name val="Calibri Light"/>
      <family val="1"/>
      <scheme val="major"/>
    </font>
    <font>
      <b/>
      <sz val="11"/>
      <color theme="3" tint="0.34998626667073579"/>
      <name val="Calibri"/>
      <family val="2"/>
      <scheme val="minor"/>
    </font>
    <font>
      <b/>
      <sz val="11"/>
      <color theme="1" tint="0.34998626667073579"/>
      <name val="Calibri"/>
      <family val="2"/>
      <scheme val="minor"/>
    </font>
    <font>
      <b/>
      <sz val="24"/>
      <color theme="1" tint="0.34998626667073579"/>
      <name val="Calibri Light"/>
      <family val="1"/>
      <scheme val="major"/>
    </font>
    <font>
      <sz val="11"/>
      <color theme="4" tint="-0.499984740745262"/>
      <name val="Calibri Light"/>
      <family val="1"/>
      <scheme val="major"/>
    </font>
    <font>
      <sz val="11"/>
      <color rgb="FF000000"/>
      <name val="Arial"/>
      <family val="2"/>
    </font>
    <font>
      <sz val="11"/>
      <color theme="1"/>
      <name val="Arial1"/>
    </font>
    <font>
      <b/>
      <sz val="16"/>
      <color theme="1"/>
      <name val="Arial1"/>
    </font>
    <font>
      <u/>
      <sz val="11"/>
      <color theme="10"/>
      <name val="Arial1"/>
    </font>
    <font>
      <sz val="9"/>
      <color theme="1"/>
      <name val="Segoe UI"/>
      <family val="2"/>
    </font>
    <font>
      <b/>
      <sz val="9"/>
      <color theme="1"/>
      <name val="Arial1"/>
    </font>
    <font>
      <sz val="16"/>
      <name val="Century Gothic"/>
      <family val="2"/>
    </font>
    <font>
      <sz val="10"/>
      <name val="Century Gothic"/>
      <family val="2"/>
    </font>
    <font>
      <sz val="8"/>
      <name val="Century Gothic"/>
      <family val="2"/>
    </font>
    <font>
      <b/>
      <sz val="8"/>
      <name val="Century Gothic"/>
      <family val="2"/>
    </font>
    <font>
      <sz val="8"/>
      <color indexed="23"/>
      <name val="Century Gothic"/>
      <family val="2"/>
    </font>
    <font>
      <sz val="9"/>
      <color indexed="23"/>
      <name val="Century Gothic"/>
      <family val="2"/>
    </font>
    <font>
      <sz val="10"/>
      <color indexed="23"/>
      <name val="Century Gothic"/>
      <family val="2"/>
    </font>
    <font>
      <sz val="8"/>
      <name val="Arial1"/>
    </font>
    <font>
      <sz val="11"/>
      <color rgb="FFFF0000"/>
      <name val="Arial1"/>
    </font>
  </fonts>
  <fills count="9">
    <fill>
      <patternFill patternType="none"/>
    </fill>
    <fill>
      <patternFill patternType="gray125"/>
    </fill>
    <fill>
      <patternFill patternType="solid">
        <fgColor rgb="FFFFFFFF"/>
        <bgColor rgb="FFFFFFFF"/>
      </patternFill>
    </fill>
    <fill>
      <patternFill patternType="solid">
        <fgColor theme="4"/>
      </patternFill>
    </fill>
    <fill>
      <patternFill patternType="solid">
        <fgColor theme="4" tint="-0.499984740745262"/>
        <bgColor indexed="64"/>
      </patternFill>
    </fill>
    <fill>
      <patternFill patternType="solid">
        <fgColor rgb="FFFF0000"/>
        <bgColor indexed="64"/>
      </patternFill>
    </fill>
    <fill>
      <patternFill patternType="solid">
        <fgColor rgb="FF92D050"/>
        <bgColor indexed="64"/>
      </patternFill>
    </fill>
    <fill>
      <patternFill patternType="solid">
        <fgColor indexed="26"/>
        <bgColor indexed="64"/>
      </patternFill>
    </fill>
    <fill>
      <patternFill patternType="solid">
        <fgColor indexed="31"/>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double">
        <color auto="1"/>
      </left>
      <right style="double">
        <color auto="1"/>
      </right>
      <top style="double">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diagonal/>
    </border>
    <border>
      <left style="thin">
        <color rgb="FF000000"/>
      </left>
      <right style="thin">
        <color rgb="FF000000"/>
      </right>
      <top/>
      <bottom/>
      <diagonal/>
    </border>
    <border>
      <left/>
      <right style="thin">
        <color rgb="FF000000"/>
      </right>
      <top/>
      <bottom/>
      <diagonal/>
    </border>
    <border>
      <left style="double">
        <color auto="1"/>
      </left>
      <right style="double">
        <color auto="1"/>
      </right>
      <top/>
      <bottom style="double">
        <color auto="1"/>
      </bottom>
      <diagonal/>
    </border>
    <border>
      <left style="thin">
        <color rgb="FF000000"/>
      </left>
      <right style="thin">
        <color rgb="FF000000"/>
      </right>
      <top/>
      <bottom style="thin">
        <color rgb="FF000000"/>
      </bottom>
      <diagonal/>
    </border>
    <border>
      <left/>
      <right style="double">
        <color auto="1"/>
      </right>
      <top style="double">
        <color auto="1"/>
      </top>
      <bottom style="double">
        <color auto="1"/>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double">
        <color auto="1"/>
      </top>
      <bottom style="double">
        <color auto="1"/>
      </bottom>
      <diagonal/>
    </border>
    <border>
      <left style="thick">
        <color theme="0"/>
      </left>
      <right style="thick">
        <color theme="0"/>
      </right>
      <top/>
      <bottom style="thick">
        <color theme="0"/>
      </bottom>
      <diagonal/>
    </border>
    <border>
      <left/>
      <right/>
      <top/>
      <bottom style="thick">
        <color theme="4" tint="0.39994506668294322"/>
      </bottom>
      <diagonal/>
    </border>
    <border>
      <left/>
      <right style="thick">
        <color theme="0"/>
      </right>
      <top/>
      <bottom/>
      <diagonal/>
    </border>
    <border>
      <left style="double">
        <color auto="1"/>
      </left>
      <right/>
      <top style="double">
        <color auto="1"/>
      </top>
      <bottom style="double">
        <color auto="1"/>
      </bottom>
      <diagonal/>
    </border>
    <border>
      <left/>
      <right/>
      <top/>
      <bottom style="hair">
        <color indexed="55"/>
      </bottom>
      <diagonal/>
    </border>
    <border>
      <left style="hair">
        <color indexed="55"/>
      </left>
      <right style="hair">
        <color indexed="55"/>
      </right>
      <top style="hair">
        <color indexed="55"/>
      </top>
      <bottom style="hair">
        <color indexed="55"/>
      </bottom>
      <diagonal/>
    </border>
    <border>
      <left style="hair">
        <color indexed="55"/>
      </left>
      <right/>
      <top/>
      <bottom/>
      <diagonal/>
    </border>
    <border>
      <left/>
      <right style="hair">
        <color indexed="55"/>
      </right>
      <top/>
      <bottom/>
      <diagonal/>
    </border>
    <border>
      <left style="hair">
        <color indexed="55"/>
      </left>
      <right style="hair">
        <color indexed="55"/>
      </right>
      <top/>
      <bottom style="hair">
        <color indexed="55"/>
      </bottom>
      <diagonal/>
    </border>
  </borders>
  <cellStyleXfs count="23">
    <xf numFmtId="0" fontId="0" fillId="0" borderId="0"/>
    <xf numFmtId="164" fontId="1" fillId="2" borderId="0"/>
    <xf numFmtId="0" fontId="3" fillId="0" borderId="0"/>
    <xf numFmtId="0" fontId="4" fillId="0" borderId="0">
      <alignment horizontal="center"/>
    </xf>
    <xf numFmtId="0" fontId="4" fillId="0" borderId="0">
      <alignment horizontal="center" textRotation="90"/>
    </xf>
    <xf numFmtId="0" fontId="5" fillId="0" borderId="0"/>
    <xf numFmtId="165" fontId="5" fillId="0" borderId="0"/>
    <xf numFmtId="0" fontId="15" fillId="0" borderId="0"/>
    <xf numFmtId="0" fontId="18" fillId="0" borderId="0" applyFill="0">
      <alignment horizontal="left" vertical="center" indent="1"/>
    </xf>
    <xf numFmtId="1" fontId="18" fillId="0" borderId="15" applyFont="0" applyFill="0" applyProtection="0">
      <alignment horizontal="center" vertical="center"/>
    </xf>
    <xf numFmtId="0" fontId="20" fillId="0" borderId="0" applyFill="0" applyBorder="0">
      <alignment horizontal="center" vertical="center"/>
    </xf>
    <xf numFmtId="0" fontId="21" fillId="0" borderId="0" applyFill="0" applyBorder="0">
      <alignment horizontal="left" wrapText="1"/>
    </xf>
    <xf numFmtId="166" fontId="18" fillId="0" borderId="15" applyFont="0" applyFill="0" applyProtection="0">
      <alignment horizontal="center" vertical="center"/>
    </xf>
    <xf numFmtId="0" fontId="19" fillId="0" borderId="0" applyFill="0" applyBorder="0">
      <alignment vertical="center" wrapText="1"/>
    </xf>
    <xf numFmtId="0" fontId="22" fillId="0" borderId="16">
      <alignment horizontal="left" vertical="center" wrapText="1"/>
    </xf>
    <xf numFmtId="0" fontId="17" fillId="0" borderId="0">
      <alignment horizontal="left" vertical="center" wrapText="1" indent="1"/>
    </xf>
    <xf numFmtId="166" fontId="18" fillId="0" borderId="0" applyFont="0" applyFill="0" applyBorder="0" applyProtection="0">
      <alignment horizontal="right" vertical="center" indent="1"/>
    </xf>
    <xf numFmtId="0" fontId="16" fillId="3" borderId="17">
      <alignment horizontal="left" vertical="center" indent="1"/>
    </xf>
    <xf numFmtId="0" fontId="16" fillId="4" borderId="17">
      <alignment horizontal="left" vertical="center" indent="1"/>
    </xf>
    <xf numFmtId="167" fontId="18" fillId="0" borderId="0" applyFont="0" applyFill="0" applyBorder="0">
      <alignment horizontal="left" vertical="center"/>
    </xf>
    <xf numFmtId="0" fontId="23" fillId="0" borderId="0"/>
    <xf numFmtId="44" fontId="25" fillId="0" borderId="0" applyFont="0" applyFill="0" applyBorder="0" applyAlignment="0" applyProtection="0"/>
    <xf numFmtId="0" fontId="27" fillId="0" borderId="0" applyNumberFormat="0" applyFill="0" applyBorder="0" applyAlignment="0" applyProtection="0"/>
  </cellStyleXfs>
  <cellXfs count="119">
    <xf numFmtId="0" fontId="0" fillId="0" borderId="0" xfId="0"/>
    <xf numFmtId="0" fontId="7" fillId="0" borderId="1" xfId="0" applyFont="1" applyBorder="1"/>
    <xf numFmtId="0" fontId="8" fillId="0" borderId="1" xfId="0" applyFont="1" applyBorder="1"/>
    <xf numFmtId="0" fontId="9" fillId="0" borderId="0" xfId="0" applyFont="1"/>
    <xf numFmtId="0" fontId="0" fillId="0" borderId="3" xfId="0" applyBorder="1"/>
    <xf numFmtId="0" fontId="0" fillId="0" borderId="4" xfId="0" applyBorder="1"/>
    <xf numFmtId="0" fontId="13" fillId="0" borderId="2" xfId="0" applyFont="1" applyBorder="1"/>
    <xf numFmtId="0" fontId="2" fillId="0" borderId="5" xfId="0" applyFont="1" applyBorder="1"/>
    <xf numFmtId="0" fontId="2" fillId="0" borderId="6" xfId="0" applyFont="1" applyBorder="1"/>
    <xf numFmtId="0" fontId="2" fillId="0" borderId="3" xfId="0" applyFont="1" applyBorder="1"/>
    <xf numFmtId="0" fontId="13" fillId="0" borderId="4" xfId="0" applyFont="1" applyBorder="1"/>
    <xf numFmtId="0" fontId="2" fillId="0" borderId="4" xfId="0" applyFont="1" applyBorder="1"/>
    <xf numFmtId="0" fontId="2" fillId="0" borderId="7" xfId="0" applyFont="1" applyBorder="1"/>
    <xf numFmtId="0" fontId="0" fillId="0" borderId="7" xfId="0" applyBorder="1"/>
    <xf numFmtId="0" fontId="0" fillId="0" borderId="2" xfId="0" applyBorder="1"/>
    <xf numFmtId="0" fontId="14" fillId="0" borderId="2" xfId="0" applyFont="1" applyBorder="1" applyAlignment="1">
      <alignment horizontal="center"/>
    </xf>
    <xf numFmtId="0" fontId="0" fillId="0" borderId="2" xfId="0" applyBorder="1" applyAlignment="1">
      <alignment horizontal="center" vertical="center"/>
    </xf>
    <xf numFmtId="0" fontId="13" fillId="0" borderId="6" xfId="0" applyFont="1" applyBorder="1"/>
    <xf numFmtId="0" fontId="2" fillId="0" borderId="10" xfId="0" applyFont="1" applyBorder="1" applyAlignment="1">
      <alignment horizontal="left"/>
    </xf>
    <xf numFmtId="0" fontId="13" fillId="0" borderId="12" xfId="0" applyFont="1" applyBorder="1" applyAlignment="1">
      <alignment horizontal="center"/>
    </xf>
    <xf numFmtId="0" fontId="13" fillId="0" borderId="8" xfId="0" applyFont="1" applyBorder="1" applyAlignment="1">
      <alignment horizontal="center"/>
    </xf>
    <xf numFmtId="0" fontId="13" fillId="0" borderId="11" xfId="0" applyFont="1" applyBorder="1"/>
    <xf numFmtId="44" fontId="2" fillId="0" borderId="10" xfId="0" applyNumberFormat="1" applyFont="1" applyBorder="1" applyAlignment="1">
      <alignment horizontal="left"/>
    </xf>
    <xf numFmtId="2" fontId="8" fillId="0" borderId="1" xfId="0" applyNumberFormat="1" applyFont="1" applyBorder="1"/>
    <xf numFmtId="44" fontId="13" fillId="0" borderId="13" xfId="0" applyNumberFormat="1" applyFont="1" applyBorder="1" applyAlignment="1">
      <alignment horizontal="center"/>
    </xf>
    <xf numFmtId="44" fontId="2" fillId="0" borderId="6" xfId="0" applyNumberFormat="1" applyFont="1" applyBorder="1"/>
    <xf numFmtId="0" fontId="13" fillId="0" borderId="0" xfId="0" applyFont="1"/>
    <xf numFmtId="0" fontId="24" fillId="0" borderId="0" xfId="0" quotePrefix="1" applyFont="1"/>
    <xf numFmtId="0" fontId="2" fillId="0" borderId="0" xfId="0" applyFont="1"/>
    <xf numFmtId="168" fontId="0" fillId="0" borderId="0" xfId="21" applyNumberFormat="1" applyFont="1"/>
    <xf numFmtId="0" fontId="0" fillId="0" borderId="0" xfId="21" applyNumberFormat="1" applyFont="1"/>
    <xf numFmtId="168" fontId="0" fillId="0" borderId="0" xfId="0" applyNumberFormat="1"/>
    <xf numFmtId="0" fontId="26" fillId="0" borderId="0" xfId="0" applyFont="1"/>
    <xf numFmtId="2" fontId="26" fillId="0" borderId="0" xfId="0" applyNumberFormat="1" applyFont="1"/>
    <xf numFmtId="14" fontId="0" fillId="0" borderId="0" xfId="0" applyNumberFormat="1"/>
    <xf numFmtId="0" fontId="27" fillId="0" borderId="4" xfId="22" applyBorder="1"/>
    <xf numFmtId="0" fontId="28" fillId="0" borderId="0" xfId="0" applyFont="1" applyAlignment="1">
      <alignment vertical="center"/>
    </xf>
    <xf numFmtId="44" fontId="0" fillId="0" borderId="0" xfId="21" applyFont="1"/>
    <xf numFmtId="2" fontId="0" fillId="0" borderId="4" xfId="0" applyNumberFormat="1" applyBorder="1"/>
    <xf numFmtId="169" fontId="0" fillId="0" borderId="4" xfId="0" applyNumberFormat="1" applyBorder="1"/>
    <xf numFmtId="44" fontId="9" fillId="0" borderId="0" xfId="21" applyFont="1" applyAlignment="1"/>
    <xf numFmtId="0" fontId="29" fillId="0" borderId="0" xfId="0" applyFont="1" applyAlignment="1">
      <alignment horizontal="center"/>
    </xf>
    <xf numFmtId="170" fontId="0" fillId="0" borderId="0" xfId="0" applyNumberFormat="1"/>
    <xf numFmtId="2" fontId="0" fillId="0" borderId="0" xfId="0" applyNumberFormat="1"/>
    <xf numFmtId="9" fontId="0" fillId="0" borderId="0" xfId="0" applyNumberFormat="1"/>
    <xf numFmtId="44" fontId="0" fillId="6" borderId="0" xfId="21" applyFont="1" applyFill="1"/>
    <xf numFmtId="44" fontId="0" fillId="5" borderId="0" xfId="21" applyFont="1" applyFill="1"/>
    <xf numFmtId="44" fontId="0" fillId="0" borderId="0" xfId="0" applyNumberFormat="1"/>
    <xf numFmtId="0" fontId="31" fillId="0" borderId="0" xfId="7" applyFont="1"/>
    <xf numFmtId="0" fontId="31" fillId="0" borderId="19" xfId="7" applyFont="1" applyBorder="1" applyAlignment="1">
      <alignment horizontal="left"/>
    </xf>
    <xf numFmtId="0" fontId="32" fillId="0" borderId="0" xfId="7" applyFont="1" applyAlignment="1">
      <alignment horizontal="left"/>
    </xf>
    <xf numFmtId="0" fontId="33" fillId="0" borderId="0" xfId="7" applyFont="1" applyAlignment="1">
      <alignment horizontal="right"/>
    </xf>
    <xf numFmtId="171" fontId="32" fillId="0" borderId="20" xfId="7" applyNumberFormat="1" applyFont="1" applyBorder="1"/>
    <xf numFmtId="0" fontId="33" fillId="0" borderId="0" xfId="7" applyFont="1" applyAlignment="1">
      <alignment horizontal="left"/>
    </xf>
    <xf numFmtId="3" fontId="32" fillId="0" borderId="0" xfId="7" applyNumberFormat="1" applyFont="1" applyAlignment="1">
      <alignment horizontal="left"/>
    </xf>
    <xf numFmtId="172" fontId="32" fillId="0" borderId="23" xfId="7" applyNumberFormat="1" applyFont="1" applyBorder="1" applyAlignment="1">
      <alignment horizontal="right"/>
    </xf>
    <xf numFmtId="0" fontId="34" fillId="0" borderId="0" xfId="7" applyFont="1" applyAlignment="1">
      <alignment horizontal="left"/>
    </xf>
    <xf numFmtId="1" fontId="32" fillId="0" borderId="23" xfId="7" applyNumberFormat="1" applyFont="1" applyBorder="1" applyAlignment="1">
      <alignment horizontal="right"/>
    </xf>
    <xf numFmtId="14" fontId="32" fillId="0" borderId="23" xfId="7" applyNumberFormat="1" applyFont="1" applyBorder="1" applyAlignment="1">
      <alignment horizontal="right"/>
    </xf>
    <xf numFmtId="171" fontId="32" fillId="0" borderId="23" xfId="7" applyNumberFormat="1" applyFont="1" applyBorder="1"/>
    <xf numFmtId="0" fontId="32" fillId="0" borderId="19" xfId="7" applyFont="1" applyBorder="1" applyAlignment="1">
      <alignment horizontal="left"/>
    </xf>
    <xf numFmtId="173" fontId="32" fillId="0" borderId="19" xfId="7" applyNumberFormat="1" applyFont="1" applyBorder="1" applyAlignment="1">
      <alignment horizontal="left"/>
    </xf>
    <xf numFmtId="4" fontId="31" fillId="0" borderId="0" xfId="7" applyNumberFormat="1" applyFont="1"/>
    <xf numFmtId="171" fontId="32" fillId="7" borderId="20" xfId="7" applyNumberFormat="1" applyFont="1" applyFill="1" applyBorder="1"/>
    <xf numFmtId="7" fontId="32" fillId="0" borderId="0" xfId="7" applyNumberFormat="1" applyFont="1" applyAlignment="1">
      <alignment horizontal="left"/>
    </xf>
    <xf numFmtId="1" fontId="32" fillId="7" borderId="23" xfId="7" applyNumberFormat="1" applyFont="1" applyFill="1" applyBorder="1" applyAlignment="1">
      <alignment horizontal="right"/>
    </xf>
    <xf numFmtId="171" fontId="32" fillId="7" borderId="23" xfId="7" applyNumberFormat="1" applyFont="1" applyFill="1" applyBorder="1"/>
    <xf numFmtId="174" fontId="32" fillId="0" borderId="0" xfId="7" applyNumberFormat="1" applyFont="1" applyAlignment="1">
      <alignment horizontal="left"/>
    </xf>
    <xf numFmtId="3" fontId="31" fillId="0" borderId="0" xfId="7" applyNumberFormat="1" applyFont="1"/>
    <xf numFmtId="0" fontId="33" fillId="0" borderId="19" xfId="7" applyFont="1" applyBorder="1" applyAlignment="1">
      <alignment horizontal="right" wrapText="1"/>
    </xf>
    <xf numFmtId="0" fontId="31" fillId="0" borderId="0" xfId="7" applyFont="1" applyAlignment="1">
      <alignment wrapText="1"/>
    </xf>
    <xf numFmtId="1" fontId="35" fillId="7" borderId="0" xfId="7" applyNumberFormat="1" applyFont="1" applyFill="1" applyAlignment="1">
      <alignment horizontal="right"/>
    </xf>
    <xf numFmtId="14" fontId="35" fillId="7" borderId="0" xfId="7" applyNumberFormat="1" applyFont="1" applyFill="1" applyAlignment="1">
      <alignment horizontal="right"/>
    </xf>
    <xf numFmtId="171" fontId="35" fillId="7" borderId="0" xfId="7" applyNumberFormat="1" applyFont="1" applyFill="1" applyAlignment="1">
      <alignment horizontal="right"/>
    </xf>
    <xf numFmtId="171" fontId="35" fillId="8" borderId="0" xfId="7" applyNumberFormat="1" applyFont="1" applyFill="1" applyAlignment="1">
      <alignment horizontal="right"/>
    </xf>
    <xf numFmtId="1" fontId="36" fillId="0" borderId="0" xfId="7" applyNumberFormat="1" applyFont="1" applyAlignment="1">
      <alignment horizontal="right"/>
    </xf>
    <xf numFmtId="14" fontId="36" fillId="0" borderId="0" xfId="7" applyNumberFormat="1" applyFont="1" applyAlignment="1">
      <alignment horizontal="right"/>
    </xf>
    <xf numFmtId="171" fontId="36" fillId="0" borderId="0" xfId="7" applyNumberFormat="1" applyFont="1" applyAlignment="1">
      <alignment horizontal="right"/>
    </xf>
    <xf numFmtId="173" fontId="36" fillId="0" borderId="0" xfId="7" applyNumberFormat="1" applyFont="1" applyAlignment="1">
      <alignment horizontal="right"/>
    </xf>
    <xf numFmtId="44" fontId="36" fillId="0" borderId="0" xfId="7" applyNumberFormat="1" applyFont="1" applyAlignment="1">
      <alignment horizontal="right"/>
    </xf>
    <xf numFmtId="175" fontId="36" fillId="0" borderId="0" xfId="7" applyNumberFormat="1" applyFont="1" applyAlignment="1">
      <alignment horizontal="right"/>
    </xf>
    <xf numFmtId="0" fontId="36" fillId="0" borderId="0" xfId="7" applyFont="1" applyAlignment="1">
      <alignment horizontal="right"/>
    </xf>
    <xf numFmtId="0" fontId="15" fillId="0" borderId="0" xfId="7"/>
    <xf numFmtId="0" fontId="31" fillId="0" borderId="0" xfId="7" applyFont="1" applyAlignment="1">
      <alignment horizontal="center"/>
    </xf>
    <xf numFmtId="49" fontId="0" fillId="0" borderId="0" xfId="0" applyNumberFormat="1"/>
    <xf numFmtId="1" fontId="9" fillId="0" borderId="0" xfId="0" applyNumberFormat="1" applyFont="1"/>
    <xf numFmtId="1" fontId="0" fillId="0" borderId="4" xfId="0" applyNumberFormat="1" applyBorder="1"/>
    <xf numFmtId="169" fontId="0" fillId="0" borderId="7" xfId="0" applyNumberFormat="1" applyBorder="1"/>
    <xf numFmtId="8" fontId="0" fillId="0" borderId="0" xfId="0" applyNumberFormat="1"/>
    <xf numFmtId="176" fontId="0" fillId="0" borderId="0" xfId="0" applyNumberFormat="1"/>
    <xf numFmtId="0" fontId="38" fillId="0" borderId="0" xfId="0" applyFont="1"/>
    <xf numFmtId="0" fontId="0" fillId="0" borderId="2" xfId="0" applyBorder="1" applyAlignment="1">
      <alignment horizontal="center" vertical="center"/>
    </xf>
    <xf numFmtId="0" fontId="10" fillId="0" borderId="2" xfId="0" applyFont="1" applyBorder="1" applyAlignment="1">
      <alignment horizontal="center" vertical="center"/>
    </xf>
    <xf numFmtId="0" fontId="13" fillId="0" borderId="2" xfId="0" applyFont="1" applyBorder="1" applyAlignment="1">
      <alignment horizontal="center" vertical="center"/>
    </xf>
    <xf numFmtId="0" fontId="12" fillId="0" borderId="2" xfId="0" applyFont="1" applyBorder="1" applyAlignment="1">
      <alignment horizontal="center" vertical="center"/>
    </xf>
    <xf numFmtId="0" fontId="6" fillId="0" borderId="1" xfId="0" applyFont="1" applyBorder="1" applyAlignment="1">
      <alignment horizontal="center" vertical="center"/>
    </xf>
    <xf numFmtId="0" fontId="13" fillId="0" borderId="3" xfId="0" applyFont="1" applyBorder="1" applyAlignment="1">
      <alignment horizontal="center" vertical="center"/>
    </xf>
    <xf numFmtId="0" fontId="0" fillId="0" borderId="3" xfId="0" applyBorder="1" applyAlignment="1">
      <alignment horizontal="center" vertical="center"/>
    </xf>
    <xf numFmtId="0" fontId="11" fillId="0" borderId="1" xfId="0" applyFont="1" applyBorder="1" applyAlignment="1">
      <alignment horizontal="center"/>
    </xf>
    <xf numFmtId="0" fontId="13" fillId="0" borderId="18" xfId="0" applyFont="1" applyBorder="1" applyAlignment="1">
      <alignment horizontal="center" vertical="center"/>
    </xf>
    <xf numFmtId="0" fontId="13" fillId="0" borderId="9" xfId="0" applyFont="1" applyBorder="1" applyAlignment="1">
      <alignment horizontal="center" vertical="center"/>
    </xf>
    <xf numFmtId="0" fontId="10" fillId="0" borderId="18" xfId="0" applyFont="1" applyBorder="1" applyAlignment="1">
      <alignment horizontal="center" vertical="center"/>
    </xf>
    <xf numFmtId="0" fontId="10" fillId="0" borderId="14" xfId="0" applyFont="1" applyBorder="1" applyAlignment="1">
      <alignment horizontal="center" vertical="center"/>
    </xf>
    <xf numFmtId="0" fontId="10" fillId="0" borderId="9" xfId="0" applyFont="1" applyBorder="1" applyAlignment="1">
      <alignment horizontal="center" vertical="center"/>
    </xf>
    <xf numFmtId="0" fontId="12" fillId="0" borderId="18" xfId="0" applyFont="1" applyBorder="1" applyAlignment="1">
      <alignment horizontal="center" vertical="center"/>
    </xf>
    <xf numFmtId="0" fontId="12" fillId="0" borderId="14" xfId="0" applyFont="1" applyBorder="1" applyAlignment="1">
      <alignment horizontal="center" vertical="center"/>
    </xf>
    <xf numFmtId="0" fontId="12" fillId="0" borderId="9" xfId="0" applyFont="1" applyBorder="1" applyAlignment="1">
      <alignment horizontal="center" vertical="center"/>
    </xf>
    <xf numFmtId="0" fontId="26" fillId="0" borderId="0" xfId="0" applyFont="1" applyAlignment="1">
      <alignment horizontal="center"/>
    </xf>
    <xf numFmtId="0" fontId="7" fillId="0" borderId="0" xfId="0" applyFont="1" applyAlignment="1">
      <alignment horizontal="center"/>
    </xf>
    <xf numFmtId="0" fontId="9" fillId="0" borderId="0" xfId="0" applyFont="1" applyAlignment="1">
      <alignment horizontal="center"/>
    </xf>
    <xf numFmtId="0" fontId="0" fillId="0" borderId="0" xfId="0" applyAlignment="1">
      <alignment horizontal="center" wrapText="1"/>
    </xf>
    <xf numFmtId="8" fontId="0" fillId="0" borderId="0" xfId="0" applyNumberFormat="1" applyAlignment="1">
      <alignment horizontal="center"/>
    </xf>
    <xf numFmtId="0" fontId="0" fillId="0" borderId="0" xfId="0" applyAlignment="1">
      <alignment horizontal="center"/>
    </xf>
    <xf numFmtId="0" fontId="32" fillId="0" borderId="21" xfId="7" applyFont="1" applyBorder="1" applyAlignment="1">
      <alignment horizontal="left"/>
    </xf>
    <xf numFmtId="0" fontId="32" fillId="0" borderId="0" xfId="7" applyFont="1" applyAlignment="1">
      <alignment horizontal="left"/>
    </xf>
    <xf numFmtId="0" fontId="32" fillId="0" borderId="22" xfId="7" applyFont="1" applyBorder="1" applyAlignment="1">
      <alignment horizontal="left"/>
    </xf>
    <xf numFmtId="0" fontId="30" fillId="0" borderId="0" xfId="7" applyFont="1" applyAlignment="1">
      <alignment horizontal="left"/>
    </xf>
    <xf numFmtId="7" fontId="34" fillId="0" borderId="0" xfId="7" applyNumberFormat="1" applyFont="1" applyAlignment="1">
      <alignment horizontal="left"/>
    </xf>
    <xf numFmtId="0" fontId="34" fillId="0" borderId="0" xfId="7" applyFont="1" applyAlignment="1">
      <alignment horizontal="left"/>
    </xf>
  </cellXfs>
  <cellStyles count="23">
    <cellStyle name="Accent1 2" xfId="17" xr:uid="{F9DABFD7-8F76-4A58-893D-4215CC86F1BB}"/>
    <cellStyle name="Comma 2" xfId="9" xr:uid="{F63F5F61-01F2-47BF-9642-7F257800D159}"/>
    <cellStyle name="ConditionalStyle_1" xfId="1" xr:uid="{00000000-0005-0000-0000-000000000000}"/>
    <cellStyle name="Currency" xfId="21" builtinId="4"/>
    <cellStyle name="Currency [0] 2" xfId="12" xr:uid="{C318B4BE-D0CC-43A3-A73B-8B87490CE603}"/>
    <cellStyle name="Currency 2" xfId="16" xr:uid="{89ECF4A2-FC26-4059-A9C0-63FBF2DC75BE}"/>
    <cellStyle name="Date" xfId="19" xr:uid="{826F2C4E-38A9-4758-8BE4-56FF303D85FF}"/>
    <cellStyle name="Excel_CondFormat_1_1_1" xfId="2" xr:uid="{00000000-0005-0000-0000-000002000000}"/>
    <cellStyle name="Heading" xfId="3" xr:uid="{00000000-0005-0000-0000-000003000000}"/>
    <cellStyle name="Heading 1 2" xfId="20" xr:uid="{0F605FD2-DF54-4E4A-8A89-F9AE221EB123}"/>
    <cellStyle name="Heading 2 2" xfId="13" xr:uid="{31BC0EF1-C30B-469D-B944-B568C79BC4F1}"/>
    <cellStyle name="Heading 3 2" xfId="11" xr:uid="{06641B1E-0881-40E5-856A-3FBBF86923DD}"/>
    <cellStyle name="Heading 4 2" xfId="10" xr:uid="{AD4AACA5-869F-4016-B7DE-57FE9FCAF59B}"/>
    <cellStyle name="Heading1" xfId="4" xr:uid="{00000000-0005-0000-0000-000004000000}"/>
    <cellStyle name="Hyperlink" xfId="22" builtinId="8"/>
    <cellStyle name="Normal" xfId="0" builtinId="0" customBuiltin="1"/>
    <cellStyle name="Normal 2" xfId="7" xr:uid="{24001DDE-9937-4A1C-9243-4A062C5A3AE8}"/>
    <cellStyle name="Normal 3" xfId="8" xr:uid="{B694150C-E4B0-46C5-84F9-524BD20E6616}"/>
    <cellStyle name="Note 2" xfId="15" xr:uid="{1C9F33D5-CBF5-4BCD-8E45-9D382C25A5D2}"/>
    <cellStyle name="Result" xfId="5" xr:uid="{00000000-0005-0000-0000-000006000000}"/>
    <cellStyle name="Result2" xfId="6" xr:uid="{00000000-0005-0000-0000-000007000000}"/>
    <cellStyle name="Saved" xfId="18" xr:uid="{A17C52A5-1346-4650-9A3D-D5EDD8A0D494}"/>
    <cellStyle name="Title 2" xfId="14" xr:uid="{23A1FD72-066C-4D2B-9849-33DB03DA1366}"/>
  </cellStyles>
  <dxfs count="15">
    <dxf>
      <border>
        <left/>
        <right/>
        <top/>
        <bottom style="thin">
          <color indexed="22"/>
        </bottom>
      </border>
    </dxf>
    <dxf>
      <font>
        <i val="0"/>
        <condense val="0"/>
        <extend val="0"/>
        <color indexed="9"/>
      </font>
      <fill>
        <patternFill patternType="none">
          <bgColor indexed="65"/>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Arial1"/>
        <scheme val="none"/>
      </font>
      <numFmt numFmtId="168" formatCode="[$DOP]\ #,##0_);\([$DOP]\ #,##0\)"/>
    </dxf>
    <dxf>
      <font>
        <b val="0"/>
        <i val="0"/>
        <strike val="0"/>
        <condense val="0"/>
        <extend val="0"/>
        <outline val="0"/>
        <shadow val="0"/>
        <u val="none"/>
        <vertAlign val="baseline"/>
        <sz val="11"/>
        <color rgb="FF000000"/>
        <name val="Calibri"/>
        <family val="2"/>
        <scheme val="none"/>
      </font>
      <numFmt numFmtId="34" formatCode="_(&quot;$&quot;* #,##0.00_);_(&quot;$&quot;* \(#,##0.00\);_(&quot;$&quot;* &quot;-&quot;??_);_(@_)"/>
      <alignment horizontal="lef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left style="thin">
          <color rgb="FF000000"/>
        </left>
        <right/>
        <top/>
        <bottom/>
        <vertical/>
        <horizontal/>
      </border>
    </dxf>
    <dxf>
      <font>
        <b val="0"/>
        <i val="0"/>
        <strike val="0"/>
        <condense val="0"/>
        <extend val="0"/>
        <outline val="0"/>
        <shadow val="0"/>
        <u val="none"/>
        <vertAlign val="baseline"/>
        <sz val="11"/>
        <color rgb="FF000000"/>
        <name val="Calibri"/>
        <family val="2"/>
        <scheme val="none"/>
      </font>
      <numFmt numFmtId="34" formatCode="_(&quot;$&quot;* #,##0.00_);_(&quot;$&quot;* \(#,##0.00\);_(&quot;$&quot;* &quot;-&quot;??_);_(@_)"/>
      <border diagonalUp="0" diagonalDown="0" outline="0">
        <left/>
        <right style="thin">
          <color rgb="FF000000"/>
        </right>
        <top/>
        <bottom/>
      </border>
    </dxf>
    <dxf>
      <font>
        <b val="0"/>
        <i val="0"/>
        <strike val="0"/>
        <condense val="0"/>
        <extend val="0"/>
        <outline val="0"/>
        <shadow val="0"/>
        <u val="none"/>
        <vertAlign val="baseline"/>
        <sz val="11"/>
        <color rgb="FF000000"/>
        <name val="Calibri"/>
        <family val="2"/>
        <scheme val="none"/>
      </font>
      <border diagonalUp="0" diagonalDown="0">
        <left/>
        <right style="thin">
          <color rgb="FF000000"/>
        </right>
        <top/>
        <bottom/>
        <vertical/>
        <horizontal/>
      </border>
    </dxf>
    <dxf>
      <font>
        <b/>
        <i val="0"/>
        <strike val="0"/>
        <condense val="0"/>
        <extend val="0"/>
        <outline val="0"/>
        <shadow val="0"/>
        <u val="none"/>
        <vertAlign val="baseline"/>
        <sz val="11"/>
        <color rgb="FF000000"/>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border diagonalUp="0" diagonalDown="0">
        <left style="thin">
          <color rgb="FF000000"/>
        </left>
        <right style="thin">
          <color rgb="FF000000"/>
        </right>
        <top/>
        <bottom/>
        <vertical/>
        <horizontal/>
      </border>
    </dxf>
    <dxf>
      <font>
        <b/>
        <i val="0"/>
        <strike val="0"/>
        <condense val="0"/>
        <extend val="0"/>
        <outline val="0"/>
        <shadow val="0"/>
        <u val="none"/>
        <vertAlign val="baseline"/>
        <sz val="11"/>
        <color rgb="FF000000"/>
        <name val="Calibri"/>
        <family val="2"/>
        <scheme val="none"/>
      </font>
      <border diagonalUp="0" diagonalDown="0" outline="0">
        <left/>
        <right style="thin">
          <color rgb="FF000000"/>
        </right>
        <top/>
        <bottom/>
      </border>
    </dxf>
    <dxf>
      <font>
        <b/>
        <i val="0"/>
        <strike val="0"/>
        <condense val="0"/>
        <extend val="0"/>
        <outline val="0"/>
        <shadow val="0"/>
        <u val="none"/>
        <vertAlign val="baseline"/>
        <sz val="11"/>
        <color rgb="FF000000"/>
        <name val="Calibri"/>
        <family val="2"/>
        <scheme val="none"/>
      </font>
      <border diagonalUp="0" diagonalDown="0">
        <left/>
        <right style="thin">
          <color rgb="FF000000"/>
        </right>
        <top/>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Yorki Bonilla" id="{9FF87304-7E63-4F85-976A-BFDCB7FB8A66}" userId="0db95db14d684dfc"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5B374A-E538-412B-BF2C-A67C445C24DF}" name="Table13" displayName="Table13" ref="V5:Y46" totalsRowCount="1" headerRowBorderDxfId="14" tableBorderDxfId="13">
  <autoFilter ref="V5:Y45" xr:uid="{5B3186F4-3707-461B-A801-72C57DA17F0D}"/>
  <sortState xmlns:xlrd2="http://schemas.microsoft.com/office/spreadsheetml/2017/richdata2" ref="V6:Y45">
    <sortCondition ref="X5:X45"/>
  </sortState>
  <tableColumns count="4">
    <tableColumn id="1" xr3:uid="{3AE992CC-5A08-4DFB-81BA-DAD9B8C110CD}" name="Articulo" totalsRowLabel="Total" dataDxfId="12" totalsRowDxfId="11"/>
    <tableColumn id="2" xr3:uid="{FE2718E8-2CF9-4470-BA13-0042B36694E9}" name="Precio" totalsRowFunction="custom" dataDxfId="10" totalsRowDxfId="9">
      <totalsRowFormula>SUMIF(X6:X37,"*Pending*",W6:W37)</totalsRowFormula>
    </tableColumn>
    <tableColumn id="3" xr3:uid="{B23F892B-AFF4-419A-A254-64D94B452983}" name="Status" totalsRowFunction="custom" dataDxfId="8" totalsRowDxfId="7">
      <totalsRowFormula>SUMIF(X6:X37,"*Done*",W6:W37)</totalsRowFormula>
    </tableColumn>
    <tableColumn id="4" xr3:uid="{F549FAB8-F65D-4C73-9254-443680FA822F}" name="Mes" totalsRowFunction="custom" dataDxfId="6" totalsRowDxfId="5">
      <totalsRowFormula>Table13[[#Totals],[Status]]+Table13[[#Totals],[Precio]]</totalsRow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52DA76-C903-4187-915A-82053B703047}" name="Table3" displayName="Table3" ref="A17:N23" totalsRowShown="0">
  <autoFilter ref="A17:N23" xr:uid="{0152DA76-C903-4187-915A-82053B703047}"/>
  <tableColumns count="14">
    <tableColumn id="1" xr3:uid="{BA8318D6-4A90-49E4-AB70-F2B713284731}" name="Opciones"/>
    <tableColumn id="11" xr3:uid="{54AA83A4-0B1A-4E48-96A5-9DC8797B14D9}" name="Fecha de entrega"/>
    <tableColumn id="2" xr3:uid="{CF0EC1E2-8EC8-4672-AE9E-23988159E3C1}" name="Precio">
      <calculatedColumnFormula>175000*65</calculatedColumnFormula>
    </tableColumn>
    <tableColumn id="3" xr3:uid="{A6149B43-633C-4777-8DFB-7FB001DC0D19}" name="Inicial"/>
    <tableColumn id="4" xr3:uid="{1A72AEA3-3697-4042-8CD2-88853B364F85}" name="Abono Inicial"/>
    <tableColumn id="5" xr3:uid="{E70BBDB8-61F5-4513-A04C-5A2B520F9FEF}" name="Pago de inicial">
      <calculatedColumnFormula>(D18-E18)/I$7</calculatedColumnFormula>
    </tableColumn>
    <tableColumn id="6" xr3:uid="{82639913-E02B-4B38-B162-2B40FC165884}" name="Prestamo">
      <calculatedColumnFormula>Table3[[#This Row],[Precio]]-Table3[[#This Row],[Inicial]]</calculatedColumnFormula>
    </tableColumn>
    <tableColumn id="12" xr3:uid="{E41DECF5-3F32-4364-B2AA-3E8B00C43E67}" name="Pago tasa 14%" dataDxfId="4" dataCellStyle="Currency">
      <calculatedColumnFormula>PMT(I$6%/12,20*12,Table3[[#This Row],[Prestamo]])</calculatedColumnFormula>
    </tableColumn>
    <tableColumn id="7" xr3:uid="{3D431A89-6F6D-45D6-B1C8-9DB5E8871D53}" name="Metros"/>
    <tableColumn id="8" xr3:uid="{CFF78F84-F554-492F-A160-4B1C1EAE4145}" name="Habitaciones"/>
    <tableColumn id="9" xr3:uid="{A3E1071B-9221-480B-8CFE-EEF1EA2C4716}" name="Baños"/>
    <tableColumn id="10" xr3:uid="{7B86E6A2-5A50-4366-9035-A331EA1CBA53}" name="Parqueos"/>
    <tableColumn id="13" xr3:uid="{3C44CA32-11FB-4224-B52C-83774DC12919}" name="Link"/>
    <tableColumn id="14" xr3:uid="{177BBD53-05A1-4D15-91C8-DE9036733CB5}" name="Loca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 dT="2026-01-28T11:15:41.43" personId="{9FF87304-7E63-4F85-976A-BFDCB7FB8A66}" id="{F27EE925-EDCC-41ED-BF9B-26F960C7B14A}">
    <text>Pago mensual, por 6 meses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mazon.com/your-orders/order-details?orderID=111-0639660-3185855&amp;ref=ppx_yo2ov_dt_b_fed_order_details" TargetMode="External"/><Relationship Id="rId1" Type="http://schemas.openxmlformats.org/officeDocument/2006/relationships/hyperlink" Target="https://www.amazon.com/your-orders/order-details?orderID=111-4357709-6710665&amp;ref=ppx_yo2ov_dt_b_fed_order_details"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9C4D2-74B1-4E64-BCAE-4D8530D377B5}">
  <dimension ref="A1:Y268"/>
  <sheetViews>
    <sheetView topLeftCell="A159" zoomScale="115" zoomScaleNormal="115" workbookViewId="0">
      <selection activeCell="D164" sqref="B164:D176"/>
    </sheetView>
  </sheetViews>
  <sheetFormatPr defaultColWidth="9" defaultRowHeight="13.8"/>
  <cols>
    <col min="1" max="1" width="10.59765625" customWidth="1"/>
    <col min="2" max="2" width="16.19921875" bestFit="1" customWidth="1"/>
    <col min="3" max="3" width="10.8984375" bestFit="1" customWidth="1"/>
    <col min="4" max="4" width="8.8984375" bestFit="1" customWidth="1"/>
    <col min="5" max="5" width="17" bestFit="1" customWidth="1"/>
    <col min="6" max="6" width="8.8984375" bestFit="1" customWidth="1"/>
    <col min="7" max="7" width="15.69921875" bestFit="1" customWidth="1"/>
    <col min="8" max="8" width="18.3984375" bestFit="1" customWidth="1"/>
    <col min="9" max="9" width="9.8984375" bestFit="1" customWidth="1"/>
    <col min="10" max="10" width="17.09765625" bestFit="1" customWidth="1"/>
    <col min="11" max="11" width="9.8984375" bestFit="1" customWidth="1"/>
    <col min="12" max="12" width="10.59765625" customWidth="1"/>
    <col min="13" max="13" width="22.8984375" customWidth="1"/>
    <col min="14" max="14" width="22.19921875" bestFit="1" customWidth="1"/>
    <col min="15" max="15" width="18.59765625" bestFit="1" customWidth="1"/>
    <col min="16" max="16" width="9" bestFit="1" customWidth="1"/>
    <col min="17" max="17" width="32.19921875" bestFit="1" customWidth="1"/>
    <col min="18" max="18" width="9.5" bestFit="1" customWidth="1"/>
    <col min="19" max="19" width="18.796875" customWidth="1"/>
    <col min="20" max="20" width="8.8984375" bestFit="1" customWidth="1"/>
    <col min="21" max="21" width="10.59765625" customWidth="1"/>
    <col min="22" max="22" width="31.296875" bestFit="1" customWidth="1"/>
    <col min="23" max="25" width="11" bestFit="1" customWidth="1"/>
    <col min="26" max="1020" width="10.59765625" customWidth="1"/>
  </cols>
  <sheetData>
    <row r="1" spans="2:25" ht="24.6">
      <c r="M1" s="95" t="s">
        <v>0</v>
      </c>
      <c r="N1" s="95"/>
    </row>
    <row r="2" spans="2:25" ht="24.6">
      <c r="B2">
        <v>369.95</v>
      </c>
      <c r="C2">
        <v>6</v>
      </c>
      <c r="D2">
        <f>C2*B2</f>
        <v>2219.6999999999998</v>
      </c>
      <c r="M2" s="1" t="s">
        <v>1</v>
      </c>
      <c r="N2" s="2">
        <f>SUMIF(H7:H1000,"Total Ingresos del mes",I7:I1000)</f>
        <v>1262586.6099999999</v>
      </c>
    </row>
    <row r="3" spans="2:25" ht="24.6">
      <c r="B3">
        <v>989.95</v>
      </c>
      <c r="D3">
        <f>D2+B3</f>
        <v>3209.6499999999996</v>
      </c>
      <c r="M3" s="1" t="s">
        <v>2</v>
      </c>
      <c r="N3" s="23">
        <f>SUMIF(J7:J1000,"Total Gastos del mes",K7:K1000)</f>
        <v>1322771.97</v>
      </c>
    </row>
    <row r="4" spans="2:25" ht="25.2">
      <c r="C4" s="27"/>
      <c r="M4" s="1" t="s">
        <v>3</v>
      </c>
      <c r="N4" s="23">
        <f>N2-N3</f>
        <v>-60185.360000000102</v>
      </c>
      <c r="V4" s="98" t="s">
        <v>7</v>
      </c>
      <c r="W4" s="98"/>
      <c r="X4" s="98"/>
      <c r="Y4" s="98"/>
    </row>
    <row r="5" spans="2:25" ht="24.6">
      <c r="C5" s="27"/>
      <c r="E5" s="27"/>
      <c r="M5" s="1" t="s">
        <v>4</v>
      </c>
      <c r="N5" s="2">
        <f>SUMIF(B7:B1000,"Ahorros",C7:C1000) + SUMIF(E7:E1000,"Ahorros",F7:F1000)</f>
        <v>16997</v>
      </c>
      <c r="V5" s="19" t="s">
        <v>10</v>
      </c>
      <c r="W5" s="20" t="s">
        <v>11</v>
      </c>
      <c r="X5" s="19" t="s">
        <v>12</v>
      </c>
      <c r="Y5" s="21" t="s">
        <v>59</v>
      </c>
    </row>
    <row r="6" spans="2:25" ht="15" thickBot="1">
      <c r="G6" s="3"/>
      <c r="V6" s="17" t="s">
        <v>70</v>
      </c>
      <c r="W6" s="7">
        <v>10000</v>
      </c>
      <c r="X6" s="8" t="s">
        <v>92</v>
      </c>
      <c r="Y6" s="18" t="s">
        <v>93</v>
      </c>
    </row>
    <row r="7" spans="2:25" ht="21" thickTop="1" thickBot="1">
      <c r="B7" s="92" t="s">
        <v>5</v>
      </c>
      <c r="C7" s="92"/>
      <c r="D7" s="92"/>
      <c r="E7" s="92"/>
      <c r="F7" s="92"/>
      <c r="G7" s="92"/>
      <c r="H7" s="92" t="s">
        <v>63</v>
      </c>
      <c r="I7" s="92"/>
      <c r="J7" s="92"/>
      <c r="K7" s="92"/>
      <c r="L7" s="4"/>
      <c r="M7" s="92" t="s">
        <v>6</v>
      </c>
      <c r="N7" s="92"/>
      <c r="O7" s="92"/>
      <c r="P7" s="92"/>
      <c r="Q7" s="92" t="s">
        <v>62</v>
      </c>
      <c r="R7" s="92"/>
      <c r="S7" s="92"/>
      <c r="T7" s="92"/>
      <c r="V7" s="17" t="s">
        <v>69</v>
      </c>
      <c r="W7" s="7"/>
      <c r="X7" s="8" t="s">
        <v>15</v>
      </c>
      <c r="Y7" s="18"/>
    </row>
    <row r="8" spans="2:25" ht="18.600000000000001" thickTop="1" thickBot="1">
      <c r="B8" s="94" t="s">
        <v>8</v>
      </c>
      <c r="C8" s="94"/>
      <c r="D8" s="94"/>
      <c r="E8" s="94" t="s">
        <v>9</v>
      </c>
      <c r="F8" s="94"/>
      <c r="G8" s="94"/>
      <c r="H8" s="94" t="s">
        <v>8</v>
      </c>
      <c r="I8" s="94"/>
      <c r="J8" s="94" t="s">
        <v>9</v>
      </c>
      <c r="K8" s="94"/>
      <c r="L8" s="5"/>
      <c r="M8" s="94" t="s">
        <v>8</v>
      </c>
      <c r="N8" s="94"/>
      <c r="O8" s="94" t="s">
        <v>9</v>
      </c>
      <c r="P8" s="94"/>
      <c r="Q8" s="94" t="s">
        <v>8</v>
      </c>
      <c r="R8" s="94"/>
      <c r="S8" s="94" t="s">
        <v>9</v>
      </c>
      <c r="T8" s="94"/>
      <c r="V8" s="17" t="s">
        <v>320</v>
      </c>
      <c r="W8" s="7"/>
      <c r="X8" s="8" t="s">
        <v>15</v>
      </c>
      <c r="Y8" s="18"/>
    </row>
    <row r="9" spans="2:25" ht="15.6" thickTop="1" thickBot="1">
      <c r="B9" s="93" t="s">
        <v>13</v>
      </c>
      <c r="C9" s="93"/>
      <c r="D9" s="6" t="s">
        <v>12</v>
      </c>
      <c r="E9" s="93" t="s">
        <v>13</v>
      </c>
      <c r="F9" s="93"/>
      <c r="G9" s="6" t="s">
        <v>12</v>
      </c>
      <c r="H9" s="93" t="s">
        <v>14</v>
      </c>
      <c r="I9" s="93"/>
      <c r="J9" s="93" t="s">
        <v>14</v>
      </c>
      <c r="K9" s="93"/>
      <c r="L9" s="5"/>
      <c r="M9" s="93" t="s">
        <v>13</v>
      </c>
      <c r="N9" s="93"/>
      <c r="O9" s="93" t="s">
        <v>13</v>
      </c>
      <c r="P9" s="93"/>
      <c r="Q9" s="93" t="s">
        <v>13</v>
      </c>
      <c r="R9" s="93"/>
      <c r="S9" s="93" t="s">
        <v>13</v>
      </c>
      <c r="T9" s="93"/>
      <c r="V9" s="17" t="s">
        <v>282</v>
      </c>
      <c r="W9" s="7"/>
      <c r="X9" s="8" t="s">
        <v>15</v>
      </c>
      <c r="Y9" s="18"/>
    </row>
    <row r="10" spans="2:25" ht="15" thickTop="1">
      <c r="B10" s="9" t="s">
        <v>16</v>
      </c>
      <c r="C10" s="4">
        <f>3783+(I11*0.1)+(I12*0.1)-D10</f>
        <v>-17.579999999999927</v>
      </c>
      <c r="D10" s="4">
        <f>3783+5.67+2000+3+5940+8.91</f>
        <v>11740.58</v>
      </c>
      <c r="E10" s="9" t="s">
        <v>16</v>
      </c>
      <c r="F10" s="4">
        <f>3783+(K11*0.1)+(K12*0.1)-G10</f>
        <v>-5.6700000000000728</v>
      </c>
      <c r="G10" s="4">
        <f>3783+5.67</f>
        <v>3788.67</v>
      </c>
      <c r="H10" s="10" t="s">
        <v>64</v>
      </c>
      <c r="I10" s="5">
        <v>30461.83</v>
      </c>
      <c r="J10" s="10" t="s">
        <v>64</v>
      </c>
      <c r="K10" s="5">
        <v>32967.89</v>
      </c>
      <c r="L10" s="5"/>
      <c r="M10" s="10" t="s">
        <v>158</v>
      </c>
      <c r="N10">
        <f>629.99+288.75+460+430</f>
        <v>1808.74</v>
      </c>
      <c r="O10" s="10" t="s">
        <v>230</v>
      </c>
      <c r="P10" s="5">
        <v>995</v>
      </c>
      <c r="Q10" s="10"/>
      <c r="R10" s="5"/>
      <c r="S10" s="10" t="s">
        <v>229</v>
      </c>
      <c r="T10" s="5">
        <v>2022.8</v>
      </c>
      <c r="V10" s="17" t="s">
        <v>71</v>
      </c>
      <c r="W10" s="7">
        <v>15000</v>
      </c>
      <c r="X10" s="8" t="s">
        <v>15</v>
      </c>
      <c r="Y10" s="18"/>
    </row>
    <row r="11" spans="2:25" ht="14.4">
      <c r="B11" s="11" t="s">
        <v>149</v>
      </c>
      <c r="C11" s="5">
        <f>12000+3209.65-908.37-D11</f>
        <v>0</v>
      </c>
      <c r="D11" s="5">
        <f>673.9+10370+3257.38</f>
        <v>14301.279999999999</v>
      </c>
      <c r="E11" s="11" t="s">
        <v>17</v>
      </c>
      <c r="F11" s="5">
        <f>6800.35-G11</f>
        <v>0</v>
      </c>
      <c r="G11" s="5">
        <f>1037+3593+2170.35</f>
        <v>6800.35</v>
      </c>
      <c r="H11" s="10" t="s">
        <v>112</v>
      </c>
      <c r="I11" s="5">
        <v>20000</v>
      </c>
      <c r="J11" s="10"/>
      <c r="K11" s="5"/>
      <c r="L11" s="5"/>
      <c r="M11" s="10" t="s">
        <v>161</v>
      </c>
      <c r="N11">
        <f>653.15+2000</f>
        <v>2653.15</v>
      </c>
      <c r="O11" s="10" t="s">
        <v>222</v>
      </c>
      <c r="P11" s="86">
        <f>500+400</f>
        <v>900</v>
      </c>
      <c r="Q11" s="10"/>
      <c r="R11" s="5"/>
      <c r="S11" s="10"/>
      <c r="T11" s="5"/>
      <c r="V11" s="17" t="s">
        <v>81</v>
      </c>
      <c r="W11" s="7">
        <v>12000</v>
      </c>
      <c r="X11" s="8" t="s">
        <v>15</v>
      </c>
      <c r="Y11" s="18"/>
    </row>
    <row r="12" spans="2:25" ht="14.4">
      <c r="B12" s="11" t="s">
        <v>18</v>
      </c>
      <c r="C12" s="5">
        <f>3500-D12</f>
        <v>-299.40000000000009</v>
      </c>
      <c r="D12" s="5">
        <f>3799.4</f>
        <v>3799.4</v>
      </c>
      <c r="E12" s="11" t="s">
        <v>18</v>
      </c>
      <c r="F12" s="5">
        <f>3500-G12</f>
        <v>-3990.7</v>
      </c>
      <c r="G12" s="5">
        <f>3629.7+3861</f>
        <v>7490.7</v>
      </c>
      <c r="H12" s="10" t="s">
        <v>147</v>
      </c>
      <c r="I12" s="5">
        <f>900*66</f>
        <v>59400</v>
      </c>
      <c r="J12" s="10"/>
      <c r="K12" s="5"/>
      <c r="L12" s="5"/>
      <c r="M12" s="10" t="s">
        <v>162</v>
      </c>
      <c r="N12" s="5">
        <f>692.76+1310.3</f>
        <v>2003.06</v>
      </c>
      <c r="O12" s="10" t="s">
        <v>223</v>
      </c>
      <c r="P12" s="5">
        <v>4750</v>
      </c>
      <c r="Q12" s="10"/>
      <c r="R12" s="5"/>
      <c r="S12" s="10"/>
      <c r="T12" s="5"/>
      <c r="V12" s="17" t="s">
        <v>80</v>
      </c>
      <c r="W12" s="7">
        <v>10000</v>
      </c>
      <c r="X12" s="8" t="s">
        <v>15</v>
      </c>
      <c r="Y12" s="18"/>
    </row>
    <row r="13" spans="2:25" ht="14.4">
      <c r="B13" s="11"/>
      <c r="C13" s="5"/>
      <c r="D13" s="5"/>
      <c r="E13" s="11"/>
      <c r="F13" s="5"/>
      <c r="G13" s="5"/>
      <c r="H13" s="10" t="s">
        <v>160</v>
      </c>
      <c r="I13" s="5">
        <v>2000</v>
      </c>
      <c r="J13" s="10"/>
      <c r="K13" s="5"/>
      <c r="L13" s="5"/>
      <c r="M13" s="10" t="s">
        <v>163</v>
      </c>
      <c r="N13" s="5">
        <v>1139</v>
      </c>
      <c r="O13" s="10" t="s">
        <v>224</v>
      </c>
      <c r="P13" s="5">
        <v>1500</v>
      </c>
      <c r="Q13" s="10"/>
      <c r="R13" s="5"/>
      <c r="S13" s="10"/>
      <c r="T13" s="5"/>
      <c r="V13" s="17" t="s">
        <v>82</v>
      </c>
      <c r="W13" s="7"/>
      <c r="X13" s="8" t="s">
        <v>15</v>
      </c>
      <c r="Y13" s="18"/>
    </row>
    <row r="14" spans="2:25" ht="14.4">
      <c r="B14" s="11" t="s">
        <v>19</v>
      </c>
      <c r="C14" s="5">
        <f>0-D14</f>
        <v>0</v>
      </c>
      <c r="D14" s="5"/>
      <c r="E14" s="11" t="s">
        <v>19</v>
      </c>
      <c r="F14" s="5">
        <f>0-G14</f>
        <v>0</v>
      </c>
      <c r="G14" s="5"/>
      <c r="H14" s="10"/>
      <c r="I14" s="5"/>
      <c r="J14" s="10"/>
      <c r="K14" s="5"/>
      <c r="L14" s="5"/>
      <c r="M14" s="10" t="s">
        <v>98</v>
      </c>
      <c r="N14" s="5">
        <v>1229</v>
      </c>
      <c r="O14" s="10" t="s">
        <v>225</v>
      </c>
      <c r="P14" s="5">
        <v>160</v>
      </c>
      <c r="Q14" s="10"/>
      <c r="R14" s="5"/>
      <c r="S14" s="10"/>
      <c r="T14" s="5"/>
      <c r="V14" s="17"/>
      <c r="W14" s="7"/>
      <c r="X14" s="8"/>
      <c r="Y14" s="18"/>
    </row>
    <row r="15" spans="2:25" ht="14.4">
      <c r="B15" s="11" t="s">
        <v>65</v>
      </c>
      <c r="C15" s="5">
        <f>0-D15</f>
        <v>0</v>
      </c>
      <c r="D15" s="5"/>
      <c r="E15" s="11" t="s">
        <v>65</v>
      </c>
      <c r="F15" s="5">
        <f>0-G15</f>
        <v>0</v>
      </c>
      <c r="G15" s="5"/>
      <c r="H15" s="10"/>
      <c r="I15" s="5"/>
      <c r="J15" s="10"/>
      <c r="K15" s="5"/>
      <c r="L15" s="5"/>
      <c r="M15" s="10" t="s">
        <v>111</v>
      </c>
      <c r="N15" s="5">
        <v>2180.1999999999998</v>
      </c>
      <c r="O15" s="10" t="s">
        <v>226</v>
      </c>
      <c r="P15" s="5">
        <v>3495</v>
      </c>
      <c r="Q15" s="10"/>
      <c r="R15" s="5"/>
      <c r="S15" s="10"/>
      <c r="T15" s="5"/>
      <c r="V15" s="17" t="s">
        <v>83</v>
      </c>
      <c r="W15" s="7"/>
      <c r="X15" s="8" t="s">
        <v>15</v>
      </c>
      <c r="Y15" s="18"/>
    </row>
    <row r="16" spans="2:25" ht="14.4">
      <c r="B16" s="11" t="s">
        <v>66</v>
      </c>
      <c r="C16" s="5">
        <f>2000+3000-D16</f>
        <v>0</v>
      </c>
      <c r="D16" s="5">
        <f>3000+2000</f>
        <v>5000</v>
      </c>
      <c r="E16" s="11" t="s">
        <v>66</v>
      </c>
      <c r="F16" s="5">
        <f>2000-G16</f>
        <v>-1495</v>
      </c>
      <c r="G16" s="5">
        <v>3495</v>
      </c>
      <c r="H16" s="5"/>
      <c r="I16" s="5"/>
      <c r="J16" s="5"/>
      <c r="K16" s="5"/>
      <c r="L16" s="5"/>
      <c r="M16" s="10" t="s">
        <v>109</v>
      </c>
      <c r="N16" s="5">
        <v>11365.45</v>
      </c>
      <c r="O16" s="10" t="s">
        <v>227</v>
      </c>
      <c r="P16" s="5">
        <v>2300</v>
      </c>
      <c r="Q16" s="10"/>
      <c r="R16" s="5"/>
      <c r="S16" s="10"/>
      <c r="T16" s="5"/>
      <c r="V16" s="17" t="s">
        <v>84</v>
      </c>
      <c r="W16" s="7"/>
      <c r="X16" s="8" t="s">
        <v>15</v>
      </c>
      <c r="Y16" s="18"/>
    </row>
    <row r="17" spans="2:25" ht="14.4">
      <c r="B17" s="11" t="s">
        <v>36</v>
      </c>
      <c r="C17" s="5">
        <f>500-D17</f>
        <v>0</v>
      </c>
      <c r="D17" s="5">
        <v>500</v>
      </c>
      <c r="E17" s="11" t="s">
        <v>36</v>
      </c>
      <c r="F17" s="5">
        <f>500-G17</f>
        <v>0</v>
      </c>
      <c r="G17" s="5">
        <v>500</v>
      </c>
      <c r="H17" s="5"/>
      <c r="I17" s="5"/>
      <c r="J17" s="5"/>
      <c r="K17" s="5"/>
      <c r="L17" s="5"/>
      <c r="M17" s="10" t="s">
        <v>151</v>
      </c>
      <c r="N17" s="5">
        <v>7500</v>
      </c>
      <c r="O17" s="10" t="s">
        <v>228</v>
      </c>
      <c r="P17" s="5">
        <f>(81.88+24.99+38.87+17.09)*65+(497)</f>
        <v>11080.949999999999</v>
      </c>
      <c r="Q17" s="10"/>
      <c r="R17" s="5"/>
      <c r="S17" s="10"/>
      <c r="T17" s="5"/>
      <c r="V17" s="17" t="s">
        <v>94</v>
      </c>
      <c r="W17" s="7"/>
      <c r="X17" s="8" t="s">
        <v>15</v>
      </c>
      <c r="Y17" s="18"/>
    </row>
    <row r="18" spans="2:25" ht="14.4">
      <c r="B18" s="11" t="s">
        <v>57</v>
      </c>
      <c r="C18" s="5">
        <f>SUM(R10:R23)-D18</f>
        <v>0</v>
      </c>
      <c r="D18" s="5"/>
      <c r="E18" s="11" t="s">
        <v>57</v>
      </c>
      <c r="F18" s="5">
        <f>SUM(T10:T23)-G18</f>
        <v>0</v>
      </c>
      <c r="G18" s="5">
        <v>2022.8</v>
      </c>
      <c r="H18" s="5"/>
      <c r="I18" s="5"/>
      <c r="J18" s="5"/>
      <c r="K18" s="5"/>
      <c r="L18" s="5"/>
      <c r="M18" s="10" t="s">
        <v>152</v>
      </c>
      <c r="N18" s="5">
        <v>1500</v>
      </c>
      <c r="O18" s="10" t="s">
        <v>231</v>
      </c>
      <c r="P18" s="5">
        <v>500</v>
      </c>
      <c r="Q18" s="10"/>
      <c r="R18" s="5"/>
      <c r="S18" s="10"/>
      <c r="T18" s="5"/>
      <c r="V18" s="17"/>
      <c r="W18" s="7"/>
      <c r="X18" s="8"/>
      <c r="Y18" s="18"/>
    </row>
    <row r="19" spans="2:25" ht="14.4">
      <c r="B19" s="11" t="s">
        <v>21</v>
      </c>
      <c r="C19" s="5">
        <f>1400-D19</f>
        <v>-2.0999999999999091</v>
      </c>
      <c r="D19" s="5">
        <f>1400+2.1</f>
        <v>1402.1</v>
      </c>
      <c r="E19" s="11" t="s">
        <v>58</v>
      </c>
      <c r="F19" s="5">
        <f>0-G19</f>
        <v>0</v>
      </c>
      <c r="G19" s="5"/>
      <c r="H19" s="5"/>
      <c r="I19" s="5"/>
      <c r="J19" s="5"/>
      <c r="K19" s="5"/>
      <c r="L19" s="5"/>
      <c r="M19" s="10" t="s">
        <v>153</v>
      </c>
      <c r="N19" s="5">
        <v>6000</v>
      </c>
      <c r="O19" s="10"/>
      <c r="P19" s="5"/>
      <c r="Q19" s="10"/>
      <c r="R19" s="5"/>
      <c r="S19" s="10"/>
      <c r="T19" s="5"/>
      <c r="V19" s="17" t="s">
        <v>100</v>
      </c>
      <c r="W19" s="7">
        <v>1500</v>
      </c>
      <c r="X19" s="8" t="s">
        <v>92</v>
      </c>
      <c r="Y19" s="18" t="s">
        <v>283</v>
      </c>
    </row>
    <row r="20" spans="2:25" ht="14.4">
      <c r="B20" s="11" t="s">
        <v>22</v>
      </c>
      <c r="C20" s="5">
        <f>249-D20</f>
        <v>0</v>
      </c>
      <c r="D20" s="5">
        <f>249</f>
        <v>249</v>
      </c>
      <c r="E20" s="11" t="s">
        <v>61</v>
      </c>
      <c r="F20" s="5">
        <f>0-G20</f>
        <v>0</v>
      </c>
      <c r="G20" s="5"/>
      <c r="H20" s="5"/>
      <c r="I20" s="5"/>
      <c r="J20" s="5"/>
      <c r="K20" s="5"/>
      <c r="L20" s="5"/>
      <c r="M20" s="10" t="s">
        <v>154</v>
      </c>
      <c r="N20" s="5">
        <v>2700</v>
      </c>
      <c r="O20" s="10"/>
      <c r="P20" s="5"/>
      <c r="Q20" s="10"/>
      <c r="R20" s="5"/>
      <c r="S20" s="10"/>
      <c r="T20" s="5"/>
      <c r="V20" s="17" t="s">
        <v>101</v>
      </c>
      <c r="W20" s="7">
        <v>3500</v>
      </c>
      <c r="X20" s="8" t="s">
        <v>92</v>
      </c>
      <c r="Y20" s="18" t="s">
        <v>283</v>
      </c>
    </row>
    <row r="21" spans="2:25" ht="14.4">
      <c r="B21" s="11" t="s">
        <v>20</v>
      </c>
      <c r="C21" s="5">
        <f>2832.67-D21</f>
        <v>0</v>
      </c>
      <c r="D21" s="5">
        <f>2832.67</f>
        <v>2832.67</v>
      </c>
      <c r="E21" s="11" t="s">
        <v>60</v>
      </c>
      <c r="F21" s="5">
        <f>0-G21</f>
        <v>0</v>
      </c>
      <c r="G21" s="5"/>
      <c r="H21" s="5"/>
      <c r="I21" s="5"/>
      <c r="J21" s="5"/>
      <c r="K21" s="5"/>
      <c r="L21" s="5"/>
      <c r="M21" s="10" t="s">
        <v>148</v>
      </c>
      <c r="N21" s="39">
        <v>72291.199999999997</v>
      </c>
      <c r="O21" s="10"/>
      <c r="P21" s="5"/>
      <c r="Q21" s="10"/>
      <c r="R21" s="5"/>
      <c r="S21" s="10"/>
      <c r="T21" s="5"/>
      <c r="V21" s="17" t="s">
        <v>281</v>
      </c>
      <c r="W21" s="7"/>
      <c r="X21" s="8" t="s">
        <v>15</v>
      </c>
      <c r="Y21" s="18"/>
    </row>
    <row r="22" spans="2:25" ht="15" thickBot="1">
      <c r="B22" s="12" t="s">
        <v>23</v>
      </c>
      <c r="C22" s="13">
        <f>SUM(N10:N23)-D22</f>
        <v>0</v>
      </c>
      <c r="D22" s="87">
        <f>SUM(N10:N23)</f>
        <v>119447.8</v>
      </c>
      <c r="E22" s="12" t="s">
        <v>23</v>
      </c>
      <c r="F22" s="13">
        <f>SUM(P10:P23)-G22</f>
        <v>0</v>
      </c>
      <c r="G22" s="13">
        <f>SUM(P10:P18)</f>
        <v>25680.949999999997</v>
      </c>
      <c r="H22" s="13"/>
      <c r="I22" s="13"/>
      <c r="J22" s="13"/>
      <c r="K22" s="13"/>
      <c r="L22" s="5"/>
      <c r="M22" s="10" t="s">
        <v>159</v>
      </c>
      <c r="N22" s="5">
        <f>260+140+135</f>
        <v>535</v>
      </c>
      <c r="O22" s="10"/>
      <c r="P22" s="5"/>
      <c r="Q22" s="10"/>
      <c r="R22" s="5"/>
      <c r="S22" s="10"/>
      <c r="T22" s="5"/>
      <c r="V22" s="17" t="s">
        <v>102</v>
      </c>
      <c r="W22" s="7"/>
      <c r="X22" s="8" t="s">
        <v>15</v>
      </c>
      <c r="Y22" s="18"/>
    </row>
    <row r="23" spans="2:25" ht="18.75" customHeight="1" thickTop="1" thickBot="1">
      <c r="B23" s="6" t="s">
        <v>24</v>
      </c>
      <c r="C23" s="14">
        <f>SUMIF(C10:C22,"&gt;0")+SUMIF(D10:D22,"&gt;0")</f>
        <v>159272.83000000002</v>
      </c>
      <c r="D23" s="14"/>
      <c r="E23" s="6" t="s">
        <v>25</v>
      </c>
      <c r="F23" s="14">
        <f>SUMIF(F10:F22,"&gt;0")+SUMIF(G10:G22,"&gt;0")</f>
        <v>49778.47</v>
      </c>
      <c r="G23" s="94" t="s">
        <v>26</v>
      </c>
      <c r="H23" s="96" t="s">
        <v>27</v>
      </c>
      <c r="I23" s="97">
        <f>SUM(I10:I22)</f>
        <v>111861.83</v>
      </c>
      <c r="J23" s="96" t="s">
        <v>27</v>
      </c>
      <c r="K23" s="97">
        <f>SUM(K10:K22)</f>
        <v>32967.89</v>
      </c>
      <c r="L23" s="5"/>
      <c r="M23" s="10" t="s">
        <v>157</v>
      </c>
      <c r="N23" s="5">
        <f>817+96+280+5350</f>
        <v>6543</v>
      </c>
      <c r="O23" s="10"/>
      <c r="P23" s="5"/>
      <c r="Q23" s="10"/>
      <c r="R23" s="5"/>
      <c r="S23" s="10"/>
      <c r="T23" s="5"/>
      <c r="V23" s="17" t="s">
        <v>104</v>
      </c>
      <c r="W23" s="7"/>
      <c r="X23" s="8" t="s">
        <v>15</v>
      </c>
      <c r="Y23" s="18"/>
    </row>
    <row r="24" spans="2:25" ht="17.850000000000001" customHeight="1" thickTop="1" thickBot="1">
      <c r="B24" s="6" t="s">
        <v>28</v>
      </c>
      <c r="C24" s="14">
        <f>SUMIF(C10:C22,"&gt;0")</f>
        <v>0</v>
      </c>
      <c r="D24" s="14"/>
      <c r="E24" s="6" t="s">
        <v>28</v>
      </c>
      <c r="F24" s="14">
        <f>SUMIF(F10:F22,"&gt;0")</f>
        <v>0</v>
      </c>
      <c r="G24" s="94"/>
      <c r="H24" s="96"/>
      <c r="I24" s="97"/>
      <c r="J24" s="96"/>
      <c r="K24" s="97"/>
      <c r="L24" s="5"/>
      <c r="M24" s="6" t="s">
        <v>29</v>
      </c>
      <c r="N24" s="14">
        <f>SUM(N10:N23)</f>
        <v>119447.8</v>
      </c>
      <c r="O24" s="6" t="s">
        <v>29</v>
      </c>
      <c r="P24" s="14">
        <f>SUM(P10:P23)</f>
        <v>25680.949999999997</v>
      </c>
      <c r="Q24" s="6" t="s">
        <v>29</v>
      </c>
      <c r="R24" s="14">
        <f>SUM(R10:R23)</f>
        <v>0</v>
      </c>
      <c r="S24" s="6" t="s">
        <v>29</v>
      </c>
      <c r="T24" s="14">
        <f>SUM(T10:T23)</f>
        <v>2022.8</v>
      </c>
      <c r="V24" s="17" t="s">
        <v>103</v>
      </c>
      <c r="W24" s="7"/>
      <c r="X24" s="8" t="s">
        <v>15</v>
      </c>
      <c r="Y24" s="18"/>
    </row>
    <row r="25" spans="2:25" ht="20.25" customHeight="1" thickTop="1" thickBot="1">
      <c r="B25" s="6" t="s">
        <v>30</v>
      </c>
      <c r="C25" s="14">
        <f>I23-C23</f>
        <v>-47411.000000000015</v>
      </c>
      <c r="D25" s="14"/>
      <c r="E25" s="6" t="s">
        <v>31</v>
      </c>
      <c r="F25" s="14">
        <f>K23-F23</f>
        <v>-16810.580000000002</v>
      </c>
      <c r="G25" s="15">
        <f>C25+F25</f>
        <v>-64221.580000000016</v>
      </c>
      <c r="H25" s="6" t="s">
        <v>32</v>
      </c>
      <c r="I25" s="16">
        <f>SUM(I23+K23)</f>
        <v>144829.72</v>
      </c>
      <c r="J25" s="6" t="s">
        <v>33</v>
      </c>
      <c r="K25" s="14">
        <f>C23+F23</f>
        <v>209051.30000000002</v>
      </c>
      <c r="L25" s="13"/>
      <c r="M25" s="6" t="s">
        <v>34</v>
      </c>
      <c r="N25" s="91">
        <f>N24+P24</f>
        <v>145128.75</v>
      </c>
      <c r="O25" s="91"/>
      <c r="P25" s="91"/>
      <c r="Q25" s="6" t="s">
        <v>34</v>
      </c>
      <c r="R25" s="91">
        <f>R24+T24</f>
        <v>2022.8</v>
      </c>
      <c r="S25" s="91"/>
      <c r="T25" s="91"/>
      <c r="V25" s="17" t="s">
        <v>105</v>
      </c>
      <c r="W25" s="7"/>
      <c r="X25" s="8" t="s">
        <v>15</v>
      </c>
      <c r="Y25" s="18"/>
    </row>
    <row r="26" spans="2:25" ht="15" thickTop="1">
      <c r="G26">
        <v>63577.75</v>
      </c>
      <c r="H26">
        <v>2300</v>
      </c>
      <c r="I26">
        <f>H26+G26</f>
        <v>65877.75</v>
      </c>
      <c r="V26" s="17" t="s">
        <v>106</v>
      </c>
      <c r="W26" s="7"/>
      <c r="X26" s="8" t="s">
        <v>15</v>
      </c>
      <c r="Y26" s="18"/>
    </row>
    <row r="27" spans="2:25" ht="14.4">
      <c r="E27" s="26"/>
      <c r="G27">
        <f>G26+G25</f>
        <v>-643.8300000000163</v>
      </c>
      <c r="V27" s="17" t="s">
        <v>318</v>
      </c>
      <c r="W27" s="7"/>
      <c r="X27" s="8" t="s">
        <v>15</v>
      </c>
      <c r="Y27" s="18"/>
    </row>
    <row r="28" spans="2:25" ht="15" thickBot="1">
      <c r="B28" s="28"/>
      <c r="V28" s="17" t="s">
        <v>319</v>
      </c>
      <c r="W28" s="7"/>
      <c r="X28" s="8" t="s">
        <v>15</v>
      </c>
      <c r="Y28" s="18"/>
    </row>
    <row r="29" spans="2:25" ht="21" thickTop="1" thickBot="1">
      <c r="B29" s="92" t="s">
        <v>108</v>
      </c>
      <c r="C29" s="92"/>
      <c r="D29" s="92"/>
      <c r="E29" s="92"/>
      <c r="F29" s="92"/>
      <c r="G29" s="92"/>
      <c r="H29" s="92" t="s">
        <v>35</v>
      </c>
      <c r="I29" s="92"/>
      <c r="J29" s="92"/>
      <c r="K29" s="92"/>
      <c r="L29" s="4"/>
      <c r="M29" s="92" t="s">
        <v>6</v>
      </c>
      <c r="N29" s="92"/>
      <c r="O29" s="92"/>
      <c r="P29" s="92"/>
      <c r="Q29" s="92" t="s">
        <v>62</v>
      </c>
      <c r="R29" s="92"/>
      <c r="S29" s="92"/>
      <c r="T29" s="92"/>
      <c r="V29" s="17"/>
      <c r="W29" s="7"/>
      <c r="X29" s="8"/>
      <c r="Y29" s="18"/>
    </row>
    <row r="30" spans="2:25" ht="18.600000000000001" thickTop="1" thickBot="1">
      <c r="B30" s="94" t="s">
        <v>8</v>
      </c>
      <c r="C30" s="94"/>
      <c r="D30" s="94"/>
      <c r="E30" s="94" t="s">
        <v>9</v>
      </c>
      <c r="F30" s="94"/>
      <c r="G30" s="94"/>
      <c r="H30" s="94" t="s">
        <v>8</v>
      </c>
      <c r="I30" s="94"/>
      <c r="J30" s="94" t="s">
        <v>9</v>
      </c>
      <c r="K30" s="94"/>
      <c r="L30" s="5"/>
      <c r="M30" s="94" t="s">
        <v>8</v>
      </c>
      <c r="N30" s="94"/>
      <c r="O30" s="94" t="s">
        <v>9</v>
      </c>
      <c r="P30" s="94"/>
      <c r="Q30" s="94" t="s">
        <v>8</v>
      </c>
      <c r="R30" s="94"/>
      <c r="S30" s="94" t="s">
        <v>9</v>
      </c>
      <c r="T30" s="94"/>
      <c r="V30" s="17"/>
      <c r="W30" s="7"/>
      <c r="X30" s="8"/>
      <c r="Y30" s="18"/>
    </row>
    <row r="31" spans="2:25" ht="15.6" thickTop="1" thickBot="1">
      <c r="B31" s="93" t="s">
        <v>13</v>
      </c>
      <c r="C31" s="93"/>
      <c r="D31" s="6" t="s">
        <v>12</v>
      </c>
      <c r="E31" s="93" t="s">
        <v>13</v>
      </c>
      <c r="F31" s="93"/>
      <c r="G31" s="6" t="s">
        <v>12</v>
      </c>
      <c r="H31" s="93" t="s">
        <v>14</v>
      </c>
      <c r="I31" s="93"/>
      <c r="J31" s="93" t="s">
        <v>14</v>
      </c>
      <c r="K31" s="93"/>
      <c r="L31" s="5"/>
      <c r="M31" s="93" t="s">
        <v>13</v>
      </c>
      <c r="N31" s="93"/>
      <c r="O31" s="93" t="s">
        <v>13</v>
      </c>
      <c r="P31" s="93"/>
      <c r="Q31" s="93" t="s">
        <v>13</v>
      </c>
      <c r="R31" s="93"/>
      <c r="S31" s="93" t="s">
        <v>13</v>
      </c>
      <c r="T31" s="93"/>
      <c r="V31" s="17"/>
      <c r="W31" s="7"/>
      <c r="X31" s="8"/>
      <c r="Y31" s="18"/>
    </row>
    <row r="32" spans="2:25" ht="15" thickTop="1">
      <c r="B32" s="9" t="s">
        <v>16</v>
      </c>
      <c r="C32" s="4">
        <f>3783+(I33*0.1)+(I34*0.1)-D32</f>
        <v>-8.6700000000000728</v>
      </c>
      <c r="D32" s="4">
        <f>3783+5.67+2000+3</f>
        <v>5791.67</v>
      </c>
      <c r="E32" s="9" t="s">
        <v>16</v>
      </c>
      <c r="F32" s="4">
        <f>3783+(K33*0.1)+(K34*0.1)-G32</f>
        <v>-5.6700000000000728</v>
      </c>
      <c r="G32" s="4">
        <f>3783+5.67</f>
        <v>3788.67</v>
      </c>
      <c r="H32" s="10" t="s">
        <v>64</v>
      </c>
      <c r="I32" s="5">
        <v>30461.83</v>
      </c>
      <c r="J32" s="10" t="s">
        <v>64</v>
      </c>
      <c r="K32" s="5">
        <v>32967.89</v>
      </c>
      <c r="L32" s="5"/>
      <c r="M32" s="10" t="s">
        <v>239</v>
      </c>
      <c r="N32">
        <f>610+390+750+500</f>
        <v>2250</v>
      </c>
      <c r="O32" s="10" t="s">
        <v>67</v>
      </c>
      <c r="P32" s="5">
        <v>1000</v>
      </c>
      <c r="Q32" s="10" t="s">
        <v>97</v>
      </c>
      <c r="R32" s="5">
        <v>2000</v>
      </c>
      <c r="S32" s="10" t="s">
        <v>122</v>
      </c>
      <c r="T32" s="5">
        <v>2500</v>
      </c>
      <c r="V32" s="17"/>
      <c r="W32" s="7"/>
      <c r="X32" s="8"/>
      <c r="Y32" s="18"/>
    </row>
    <row r="33" spans="2:25" ht="14.4">
      <c r="B33" s="11" t="s">
        <v>150</v>
      </c>
      <c r="C33" s="5">
        <f>12000-D33</f>
        <v>-5443.369999999999</v>
      </c>
      <c r="D33" s="5">
        <f>3230.37+686+10221+2993+313</f>
        <v>17443.37</v>
      </c>
      <c r="E33" s="11" t="s">
        <v>17</v>
      </c>
      <c r="F33" s="5">
        <f>12000-G33</f>
        <v>12000</v>
      </c>
      <c r="G33" s="5"/>
      <c r="H33" s="10" t="s">
        <v>112</v>
      </c>
      <c r="I33" s="5">
        <v>20000</v>
      </c>
      <c r="J33" s="10"/>
      <c r="K33" s="5"/>
      <c r="L33" s="5"/>
      <c r="M33" s="10" t="s">
        <v>85</v>
      </c>
      <c r="N33">
        <v>653.15</v>
      </c>
      <c r="O33" s="10"/>
      <c r="P33" s="39"/>
      <c r="Q33" s="10" t="s">
        <v>234</v>
      </c>
      <c r="R33" s="5">
        <v>220.49</v>
      </c>
      <c r="S33" s="10"/>
      <c r="T33" s="5"/>
      <c r="V33" s="17"/>
      <c r="W33" s="7"/>
      <c r="X33" s="8"/>
      <c r="Y33" s="18"/>
    </row>
    <row r="34" spans="2:25" ht="14.4">
      <c r="B34" s="11" t="s">
        <v>18</v>
      </c>
      <c r="C34" s="5">
        <f>3500-D34</f>
        <v>-252</v>
      </c>
      <c r="D34" s="5">
        <v>3752</v>
      </c>
      <c r="E34" s="11" t="s">
        <v>18</v>
      </c>
      <c r="F34" s="5">
        <f>3500-G34</f>
        <v>3500</v>
      </c>
      <c r="G34" s="5"/>
      <c r="H34" s="10"/>
      <c r="I34" s="5"/>
      <c r="J34" s="10"/>
      <c r="K34" s="5"/>
      <c r="L34" s="5"/>
      <c r="M34" s="10" t="s">
        <v>68</v>
      </c>
      <c r="N34" s="5">
        <v>692.76</v>
      </c>
      <c r="O34" s="35"/>
      <c r="P34" s="5"/>
      <c r="Q34" s="10" t="s">
        <v>235</v>
      </c>
      <c r="R34" s="5">
        <v>787.5</v>
      </c>
      <c r="S34" s="10"/>
      <c r="T34" s="5"/>
      <c r="V34" s="17"/>
      <c r="W34" s="7"/>
      <c r="X34" s="8"/>
      <c r="Y34" s="18"/>
    </row>
    <row r="35" spans="2:25" ht="14.4">
      <c r="B35" s="11"/>
      <c r="C35" s="5"/>
      <c r="D35" s="5"/>
      <c r="E35" s="11"/>
      <c r="F35" s="5"/>
      <c r="G35" s="5"/>
      <c r="H35" s="10"/>
      <c r="I35" s="5"/>
      <c r="J35" s="10"/>
      <c r="K35" s="5"/>
      <c r="L35" s="5"/>
      <c r="M35" s="10" t="s">
        <v>99</v>
      </c>
      <c r="N35" s="5">
        <v>1324.61</v>
      </c>
      <c r="O35" s="10"/>
      <c r="P35" s="5"/>
      <c r="Q35" s="10" t="s">
        <v>236</v>
      </c>
      <c r="R35" s="5">
        <v>941.85</v>
      </c>
      <c r="S35" s="10"/>
      <c r="T35" s="5"/>
      <c r="V35" s="17"/>
      <c r="W35" s="7"/>
      <c r="X35" s="8"/>
      <c r="Y35" s="18"/>
    </row>
    <row r="36" spans="2:25" ht="14.4">
      <c r="B36" s="11" t="s">
        <v>19</v>
      </c>
      <c r="C36" s="5">
        <f>0-D36</f>
        <v>0</v>
      </c>
      <c r="D36" s="5"/>
      <c r="E36" s="11" t="s">
        <v>19</v>
      </c>
      <c r="F36" s="5">
        <f>3000-G36</f>
        <v>3000</v>
      </c>
      <c r="G36" s="5"/>
      <c r="H36" s="10"/>
      <c r="I36" s="5"/>
      <c r="J36" s="10"/>
      <c r="K36" s="5"/>
      <c r="L36" s="5"/>
      <c r="M36" s="10" t="s">
        <v>109</v>
      </c>
      <c r="N36" s="5">
        <v>11365.45</v>
      </c>
      <c r="O36" s="35"/>
      <c r="P36" s="5"/>
      <c r="Q36" s="10" t="s">
        <v>240</v>
      </c>
      <c r="R36" s="5">
        <v>2500</v>
      </c>
      <c r="S36" s="10"/>
      <c r="T36" s="5"/>
      <c r="V36" s="17"/>
      <c r="W36" s="7"/>
      <c r="X36" s="8"/>
      <c r="Y36" s="18"/>
    </row>
    <row r="37" spans="2:25" ht="14.4">
      <c r="B37" s="11" t="s">
        <v>65</v>
      </c>
      <c r="C37" s="5">
        <f>0-D37</f>
        <v>0</v>
      </c>
      <c r="D37" s="5"/>
      <c r="E37" s="11" t="s">
        <v>65</v>
      </c>
      <c r="F37" s="5">
        <f>0-G37</f>
        <v>0</v>
      </c>
      <c r="G37" s="5"/>
      <c r="H37" s="10"/>
      <c r="I37" s="5"/>
      <c r="J37" s="10"/>
      <c r="K37" s="5"/>
      <c r="L37" s="5"/>
      <c r="M37" s="10" t="s">
        <v>232</v>
      </c>
      <c r="N37" s="5">
        <v>65877.75</v>
      </c>
      <c r="O37" s="10"/>
      <c r="P37" s="5"/>
      <c r="Q37" s="10"/>
      <c r="R37" s="5"/>
      <c r="S37" s="10"/>
      <c r="T37" s="5"/>
      <c r="V37" s="17"/>
      <c r="W37" s="7"/>
      <c r="X37" s="8"/>
      <c r="Y37" s="18"/>
    </row>
    <row r="38" spans="2:25" ht="14.4">
      <c r="B38" s="11" t="s">
        <v>66</v>
      </c>
      <c r="C38" s="5">
        <f>0-D38</f>
        <v>0</v>
      </c>
      <c r="D38" s="5"/>
      <c r="E38" s="11" t="s">
        <v>66</v>
      </c>
      <c r="F38" s="5">
        <f>0-G38</f>
        <v>0</v>
      </c>
      <c r="G38" s="5"/>
      <c r="H38" s="5"/>
      <c r="I38" s="5"/>
      <c r="J38" s="5"/>
      <c r="K38" s="5"/>
      <c r="L38" s="5"/>
      <c r="M38" s="10" t="s">
        <v>98</v>
      </c>
      <c r="N38" s="5">
        <v>367.89</v>
      </c>
      <c r="O38" s="10"/>
      <c r="P38" s="5"/>
      <c r="Q38" s="10"/>
      <c r="R38" s="5"/>
      <c r="S38" s="10"/>
      <c r="T38" s="5"/>
      <c r="V38" s="17"/>
      <c r="W38" s="7"/>
      <c r="X38" s="8"/>
      <c r="Y38" s="18"/>
    </row>
    <row r="39" spans="2:25" ht="14.4">
      <c r="B39" s="11" t="s">
        <v>36</v>
      </c>
      <c r="C39" s="5">
        <f>500-D39</f>
        <v>0</v>
      </c>
      <c r="D39" s="5">
        <v>500</v>
      </c>
      <c r="E39" s="11" t="s">
        <v>36</v>
      </c>
      <c r="F39" s="5">
        <f>500-G39</f>
        <v>500</v>
      </c>
      <c r="G39" s="5"/>
      <c r="H39" s="5"/>
      <c r="I39" s="5"/>
      <c r="J39" s="5"/>
      <c r="K39" s="5"/>
      <c r="L39" s="5"/>
      <c r="M39" s="10" t="s">
        <v>111</v>
      </c>
      <c r="N39" s="5">
        <v>805.2</v>
      </c>
      <c r="O39" s="10"/>
      <c r="P39" s="5"/>
      <c r="Q39" s="10"/>
      <c r="R39" s="5"/>
      <c r="S39" s="10"/>
      <c r="T39" s="5"/>
      <c r="V39" s="17"/>
      <c r="W39" s="7"/>
      <c r="X39" s="8"/>
      <c r="Y39" s="18"/>
    </row>
    <row r="40" spans="2:25" ht="14.4">
      <c r="B40" s="11" t="s">
        <v>57</v>
      </c>
      <c r="C40" s="5">
        <f>SUM(R32:R45)-D40</f>
        <v>2500</v>
      </c>
      <c r="D40" s="5">
        <v>3949.84</v>
      </c>
      <c r="E40" s="11" t="s">
        <v>57</v>
      </c>
      <c r="F40" s="5">
        <f>SUM(T32:T45)-G40</f>
        <v>2500</v>
      </c>
      <c r="G40" s="5"/>
      <c r="H40" s="5"/>
      <c r="I40" s="5"/>
      <c r="J40" s="5"/>
      <c r="K40" s="5"/>
      <c r="L40" s="5"/>
      <c r="M40" s="10" t="s">
        <v>233</v>
      </c>
      <c r="N40" s="5">
        <v>2800</v>
      </c>
      <c r="O40" s="10"/>
      <c r="P40" s="5"/>
      <c r="Q40" s="10"/>
      <c r="R40" s="5"/>
      <c r="S40" s="10"/>
      <c r="T40" s="5"/>
      <c r="V40" s="17"/>
      <c r="W40" s="7"/>
      <c r="X40" s="8"/>
      <c r="Y40" s="18"/>
    </row>
    <row r="41" spans="2:25" ht="14.4">
      <c r="B41" s="11" t="s">
        <v>21</v>
      </c>
      <c r="C41" s="5">
        <f>1400-D41</f>
        <v>-2.0999999999999091</v>
      </c>
      <c r="D41" s="5">
        <f>1400+2.1</f>
        <v>1402.1</v>
      </c>
      <c r="E41" s="11" t="s">
        <v>58</v>
      </c>
      <c r="F41" s="5">
        <f>0-G41</f>
        <v>0</v>
      </c>
      <c r="G41" s="5"/>
      <c r="H41" s="5"/>
      <c r="I41" s="5"/>
      <c r="J41" s="5"/>
      <c r="K41" s="5"/>
      <c r="L41" s="5"/>
      <c r="M41" s="10" t="s">
        <v>237</v>
      </c>
      <c r="N41" s="5">
        <f>479.83+529.76+369.7</f>
        <v>1379.29</v>
      </c>
      <c r="O41" s="10"/>
      <c r="P41" s="5"/>
      <c r="Q41" s="10"/>
      <c r="R41" s="5"/>
      <c r="S41" s="10"/>
      <c r="T41" s="5"/>
      <c r="V41" s="17"/>
      <c r="W41" s="7"/>
      <c r="X41" s="8"/>
      <c r="Y41" s="18"/>
    </row>
    <row r="42" spans="2:25" ht="14.4">
      <c r="B42" s="11" t="s">
        <v>22</v>
      </c>
      <c r="C42" s="5">
        <f>249.4-D42</f>
        <v>0</v>
      </c>
      <c r="D42" s="5">
        <f>249.4</f>
        <v>249.4</v>
      </c>
      <c r="E42" s="11" t="s">
        <v>61</v>
      </c>
      <c r="F42" s="5" t="s">
        <v>241</v>
      </c>
      <c r="G42" s="5"/>
      <c r="H42" s="5"/>
      <c r="I42" s="5"/>
      <c r="J42" s="5"/>
      <c r="K42" s="5"/>
      <c r="L42" s="5"/>
      <c r="M42" s="10" t="s">
        <v>238</v>
      </c>
      <c r="N42" s="5">
        <f>9.11+22.77*68</f>
        <v>1557.4699999999998</v>
      </c>
      <c r="O42" s="10"/>
      <c r="P42" s="5"/>
      <c r="Q42" s="10"/>
      <c r="R42" s="5"/>
      <c r="S42" s="10"/>
      <c r="T42" s="5"/>
      <c r="V42" s="17"/>
      <c r="W42" s="7"/>
      <c r="X42" s="8"/>
      <c r="Y42" s="18"/>
    </row>
    <row r="43" spans="2:25" ht="14.4">
      <c r="B43" s="11" t="s">
        <v>20</v>
      </c>
      <c r="C43" s="5">
        <f>1259.29-D43</f>
        <v>0</v>
      </c>
      <c r="D43" s="5">
        <f>1259.29</f>
        <v>1259.29</v>
      </c>
      <c r="E43" s="11" t="s">
        <v>60</v>
      </c>
      <c r="F43" s="5">
        <f>1000-G43</f>
        <v>1000</v>
      </c>
      <c r="G43" s="5"/>
      <c r="H43" s="5"/>
      <c r="I43" s="5"/>
      <c r="J43" s="5"/>
      <c r="K43" s="5"/>
      <c r="L43" s="5"/>
      <c r="M43" s="10"/>
      <c r="N43" s="5"/>
      <c r="O43" s="10"/>
      <c r="P43" s="5"/>
      <c r="Q43" s="10"/>
      <c r="R43" s="5"/>
      <c r="S43" s="10"/>
      <c r="T43" s="5"/>
      <c r="V43" s="17"/>
      <c r="W43" s="7"/>
      <c r="X43" s="8"/>
      <c r="Y43" s="18"/>
    </row>
    <row r="44" spans="2:25" ht="15" thickBot="1">
      <c r="B44" s="12" t="s">
        <v>23</v>
      </c>
      <c r="C44" s="13">
        <f>SUM(N32:N45)-D44</f>
        <v>89073.569999999992</v>
      </c>
      <c r="D44" s="13"/>
      <c r="E44" s="12" t="s">
        <v>23</v>
      </c>
      <c r="F44" s="13">
        <f>SUM(P32:P45)-G44</f>
        <v>1000</v>
      </c>
      <c r="G44" s="13"/>
      <c r="H44" s="13"/>
      <c r="I44" s="13"/>
      <c r="J44" s="13"/>
      <c r="K44" s="13"/>
      <c r="L44" s="5"/>
      <c r="M44" s="10"/>
      <c r="N44" s="5"/>
      <c r="O44" s="10"/>
      <c r="P44" s="5"/>
      <c r="Q44" s="10"/>
      <c r="R44" s="5"/>
      <c r="S44" s="10"/>
      <c r="T44" s="5"/>
      <c r="V44" s="17"/>
      <c r="W44" s="7"/>
      <c r="X44" s="8"/>
      <c r="Y44" s="18"/>
    </row>
    <row r="45" spans="2:25" ht="16.5" customHeight="1" thickTop="1" thickBot="1">
      <c r="B45" s="6" t="s">
        <v>24</v>
      </c>
      <c r="C45" s="14">
        <f>SUMIF(C32:C44,"&gt;0")+SUMIF(D32:D44,"&gt;0")</f>
        <v>125921.23999999999</v>
      </c>
      <c r="D45" s="14"/>
      <c r="E45" s="6" t="s">
        <v>25</v>
      </c>
      <c r="F45" s="14">
        <f>SUMIF(F32:F44,"&gt;0")+SUMIF(G32:G44,"&gt;0")</f>
        <v>27288.67</v>
      </c>
      <c r="G45" s="94" t="s">
        <v>26</v>
      </c>
      <c r="H45" s="96" t="s">
        <v>27</v>
      </c>
      <c r="I45" s="97">
        <f>SUM(I32:I44)</f>
        <v>50461.83</v>
      </c>
      <c r="J45" s="96" t="s">
        <v>27</v>
      </c>
      <c r="K45" s="97">
        <f>SUM(K32:K44)</f>
        <v>32967.89</v>
      </c>
      <c r="L45" s="5"/>
      <c r="M45" s="10"/>
      <c r="N45" s="5"/>
      <c r="O45" s="10"/>
      <c r="P45" s="5"/>
      <c r="Q45" s="10"/>
      <c r="R45" s="5"/>
      <c r="S45" s="10"/>
      <c r="T45" s="5"/>
      <c r="V45" s="17"/>
      <c r="W45" s="7"/>
      <c r="X45" s="8"/>
      <c r="Y45" s="18"/>
    </row>
    <row r="46" spans="2:25" ht="16.5" customHeight="1" thickTop="1" thickBot="1">
      <c r="B46" s="6" t="s">
        <v>28</v>
      </c>
      <c r="C46" s="14">
        <f>SUMIF(C32:C44,"&gt;0")</f>
        <v>91573.569999999992</v>
      </c>
      <c r="D46" s="14"/>
      <c r="E46" s="6" t="s">
        <v>28</v>
      </c>
      <c r="F46" s="14">
        <f>SUMIF(F32:F44,"&gt;0")</f>
        <v>23500</v>
      </c>
      <c r="G46" s="94"/>
      <c r="H46" s="96"/>
      <c r="I46" s="97"/>
      <c r="J46" s="96"/>
      <c r="K46" s="97"/>
      <c r="L46" s="5"/>
      <c r="M46" s="6" t="s">
        <v>29</v>
      </c>
      <c r="N46" s="14">
        <f>SUM(N32:N45)</f>
        <v>89073.569999999992</v>
      </c>
      <c r="O46" s="6" t="s">
        <v>29</v>
      </c>
      <c r="P46" s="14">
        <f>SUM(P32:P45)</f>
        <v>1000</v>
      </c>
      <c r="Q46" s="6" t="s">
        <v>29</v>
      </c>
      <c r="R46" s="14">
        <f>SUM(R32:R45)</f>
        <v>6449.84</v>
      </c>
      <c r="S46" s="6" t="s">
        <v>29</v>
      </c>
      <c r="T46" s="14">
        <f>SUM(T32:T45)</f>
        <v>2500</v>
      </c>
      <c r="V46" s="17" t="s">
        <v>29</v>
      </c>
      <c r="W46" s="24">
        <f>SUMIF(X6:X37,"*Pending*",W6:W37)</f>
        <v>37000</v>
      </c>
      <c r="X46" s="25">
        <f>SUMIF(X6:X37,"*Done*",W6:W37)</f>
        <v>15000</v>
      </c>
      <c r="Y46" s="22">
        <f>Table13[[#Totals],[Status]]+Table13[[#Totals],[Precio]]</f>
        <v>52000</v>
      </c>
    </row>
    <row r="47" spans="2:25" ht="22.2" thickTop="1" thickBot="1">
      <c r="B47" s="6" t="s">
        <v>30</v>
      </c>
      <c r="C47" s="14">
        <f>I45-C45</f>
        <v>-75459.409999999989</v>
      </c>
      <c r="D47" s="14"/>
      <c r="E47" s="6" t="s">
        <v>31</v>
      </c>
      <c r="F47" s="14">
        <f>K45-F45</f>
        <v>5679.2200000000012</v>
      </c>
      <c r="G47" s="15">
        <f>C47+F47</f>
        <v>-69780.189999999988</v>
      </c>
      <c r="H47" s="6" t="s">
        <v>32</v>
      </c>
      <c r="I47" s="16">
        <f>SUM(I45+K45)</f>
        <v>83429.72</v>
      </c>
      <c r="J47" s="6" t="s">
        <v>33</v>
      </c>
      <c r="K47" s="14">
        <f>C45+F45</f>
        <v>153209.90999999997</v>
      </c>
      <c r="L47" s="13"/>
      <c r="M47" s="6" t="s">
        <v>34</v>
      </c>
      <c r="N47" s="91">
        <f>N46+P46</f>
        <v>90073.569999999992</v>
      </c>
      <c r="O47" s="91"/>
      <c r="P47" s="91"/>
      <c r="Q47" s="6" t="s">
        <v>34</v>
      </c>
      <c r="R47" s="91">
        <f>R46+T46</f>
        <v>8949.84</v>
      </c>
      <c r="S47" s="91"/>
      <c r="T47" s="91"/>
    </row>
    <row r="48" spans="2:25" ht="14.4" thickTop="1"/>
    <row r="50" spans="2:20" ht="14.4" thickBot="1"/>
    <row r="51" spans="2:20" ht="21" thickTop="1" thickBot="1">
      <c r="B51" s="92" t="s">
        <v>37</v>
      </c>
      <c r="C51" s="92"/>
      <c r="D51" s="92"/>
      <c r="E51" s="92"/>
      <c r="F51" s="92"/>
      <c r="G51" s="92"/>
      <c r="H51" s="92" t="s">
        <v>38</v>
      </c>
      <c r="I51" s="92"/>
      <c r="J51" s="92"/>
      <c r="K51" s="92"/>
      <c r="L51" s="4"/>
      <c r="M51" s="92" t="s">
        <v>6</v>
      </c>
      <c r="N51" s="92"/>
      <c r="O51" s="92"/>
      <c r="P51" s="92"/>
      <c r="Q51" s="92" t="s">
        <v>62</v>
      </c>
      <c r="R51" s="92"/>
      <c r="S51" s="92"/>
      <c r="T51" s="92"/>
    </row>
    <row r="52" spans="2:20" ht="18.600000000000001" thickTop="1" thickBot="1">
      <c r="B52" s="94" t="s">
        <v>8</v>
      </c>
      <c r="C52" s="94"/>
      <c r="D52" s="94"/>
      <c r="E52" s="94" t="s">
        <v>9</v>
      </c>
      <c r="F52" s="94"/>
      <c r="G52" s="94"/>
      <c r="H52" s="94" t="s">
        <v>8</v>
      </c>
      <c r="I52" s="94"/>
      <c r="J52" s="94" t="s">
        <v>9</v>
      </c>
      <c r="K52" s="94"/>
      <c r="L52" s="5"/>
      <c r="M52" s="94" t="s">
        <v>8</v>
      </c>
      <c r="N52" s="94"/>
      <c r="O52" s="94" t="s">
        <v>9</v>
      </c>
      <c r="P52" s="94"/>
      <c r="Q52" s="94" t="s">
        <v>8</v>
      </c>
      <c r="R52" s="94"/>
      <c r="S52" s="94" t="s">
        <v>9</v>
      </c>
      <c r="T52" s="94"/>
    </row>
    <row r="53" spans="2:20" ht="15.6" thickTop="1" thickBot="1">
      <c r="B53" s="93" t="s">
        <v>13</v>
      </c>
      <c r="C53" s="93"/>
      <c r="D53" s="6" t="s">
        <v>12</v>
      </c>
      <c r="E53" s="93" t="s">
        <v>13</v>
      </c>
      <c r="F53" s="93"/>
      <c r="G53" s="6" t="s">
        <v>12</v>
      </c>
      <c r="H53" s="93" t="s">
        <v>14</v>
      </c>
      <c r="I53" s="93"/>
      <c r="J53" s="93" t="s">
        <v>14</v>
      </c>
      <c r="K53" s="93"/>
      <c r="L53" s="5"/>
      <c r="M53" s="93" t="s">
        <v>13</v>
      </c>
      <c r="N53" s="93"/>
      <c r="O53" s="93" t="s">
        <v>13</v>
      </c>
      <c r="P53" s="93"/>
      <c r="Q53" s="93" t="s">
        <v>13</v>
      </c>
      <c r="R53" s="93"/>
      <c r="S53" s="93" t="s">
        <v>13</v>
      </c>
      <c r="T53" s="93"/>
    </row>
    <row r="54" spans="2:20" ht="15" thickTop="1">
      <c r="B54" s="9" t="s">
        <v>16</v>
      </c>
      <c r="C54" s="4">
        <f>(I54*0.1)+(I55*0.1)+(I56*0.1)-D54</f>
        <v>-36.25</v>
      </c>
      <c r="D54" s="4">
        <f>6100+9.15+15000+22.5+1500+2.25</f>
        <v>22633.9</v>
      </c>
      <c r="E54" s="9" t="s">
        <v>16</v>
      </c>
      <c r="F54" s="4">
        <f>3783+(K55*0.1)+(K56*0.1)-G54</f>
        <v>0</v>
      </c>
      <c r="G54" s="4">
        <v>3783</v>
      </c>
      <c r="H54" s="10" t="s">
        <v>64</v>
      </c>
      <c r="I54" s="5">
        <v>61000</v>
      </c>
      <c r="J54" s="10" t="s">
        <v>64</v>
      </c>
      <c r="K54" s="5">
        <v>32967.89</v>
      </c>
      <c r="L54" s="5"/>
      <c r="M54" s="10" t="s">
        <v>67</v>
      </c>
      <c r="N54">
        <v>1000</v>
      </c>
      <c r="O54" s="10" t="s">
        <v>67</v>
      </c>
      <c r="P54" s="5">
        <v>1000</v>
      </c>
      <c r="Q54" s="10" t="s">
        <v>253</v>
      </c>
      <c r="R54" s="5">
        <v>1400</v>
      </c>
      <c r="S54" s="10" t="s">
        <v>124</v>
      </c>
      <c r="T54" s="5">
        <v>1500</v>
      </c>
    </row>
    <row r="55" spans="2:20" ht="14.4">
      <c r="B55" s="11" t="s">
        <v>17</v>
      </c>
      <c r="C55" s="5">
        <f>12000-D55</f>
        <v>0</v>
      </c>
      <c r="D55" s="5">
        <v>12000</v>
      </c>
      <c r="E55" s="11" t="s">
        <v>150</v>
      </c>
      <c r="F55" s="5">
        <f>10000-G55</f>
        <v>39</v>
      </c>
      <c r="G55" s="5">
        <v>9961</v>
      </c>
      <c r="H55" s="10" t="s">
        <v>112</v>
      </c>
      <c r="I55" s="5">
        <v>20000</v>
      </c>
      <c r="J55" s="10"/>
      <c r="K55" s="5"/>
      <c r="L55" s="5"/>
      <c r="M55" s="10" t="s">
        <v>248</v>
      </c>
      <c r="N55">
        <f>653.15+692.76+1324.61</f>
        <v>2670.5199999999995</v>
      </c>
      <c r="O55" s="10" t="s">
        <v>270</v>
      </c>
      <c r="P55" s="39">
        <v>2000</v>
      </c>
      <c r="Q55" s="10" t="s">
        <v>256</v>
      </c>
      <c r="R55" s="5">
        <v>1000</v>
      </c>
      <c r="S55" s="10" t="s">
        <v>261</v>
      </c>
      <c r="T55" s="5">
        <v>616</v>
      </c>
    </row>
    <row r="56" spans="2:20" ht="14.4">
      <c r="B56" s="11" t="s">
        <v>18</v>
      </c>
      <c r="C56" s="5">
        <f>3500-D56</f>
        <v>-1950</v>
      </c>
      <c r="D56" s="5">
        <f>3950+1500</f>
        <v>5450</v>
      </c>
      <c r="E56" s="11" t="s">
        <v>18</v>
      </c>
      <c r="F56" s="5">
        <f>3500-G56</f>
        <v>-652.10000000000036</v>
      </c>
      <c r="G56" s="5">
        <v>4152.1000000000004</v>
      </c>
      <c r="H56" s="10" t="s">
        <v>242</v>
      </c>
      <c r="I56" s="5">
        <v>144976.5</v>
      </c>
      <c r="J56" s="10"/>
      <c r="K56" s="5"/>
      <c r="L56" s="5"/>
      <c r="M56" s="10" t="s">
        <v>251</v>
      </c>
      <c r="N56" s="5">
        <f>1190.01+500</f>
        <v>1690.01</v>
      </c>
      <c r="O56" s="10" t="s">
        <v>271</v>
      </c>
      <c r="P56" s="5">
        <v>410</v>
      </c>
      <c r="Q56" s="10" t="s">
        <v>257</v>
      </c>
      <c r="R56" s="5">
        <v>616</v>
      </c>
      <c r="S56" s="10" t="s">
        <v>262</v>
      </c>
      <c r="T56" s="5">
        <v>616</v>
      </c>
    </row>
    <row r="57" spans="2:20" ht="14.4">
      <c r="B57" s="11"/>
      <c r="C57" s="5"/>
      <c r="D57" s="5"/>
      <c r="E57" s="11"/>
      <c r="F57" s="5"/>
      <c r="G57" s="5"/>
      <c r="H57" s="10"/>
      <c r="I57" s="5"/>
      <c r="J57" s="10"/>
      <c r="K57" s="5"/>
      <c r="L57" s="5"/>
      <c r="M57" s="10" t="s">
        <v>249</v>
      </c>
      <c r="N57" s="5">
        <f>21.89*60.5</f>
        <v>1324.345</v>
      </c>
      <c r="O57" s="10"/>
      <c r="P57" s="5"/>
      <c r="Q57" s="10" t="s">
        <v>254</v>
      </c>
      <c r="R57" s="5">
        <v>616</v>
      </c>
      <c r="S57" s="10" t="s">
        <v>263</v>
      </c>
      <c r="T57" s="5">
        <v>616</v>
      </c>
    </row>
    <row r="58" spans="2:20" ht="14.4">
      <c r="B58" s="11" t="s">
        <v>19</v>
      </c>
      <c r="C58" s="5">
        <f>0-D58</f>
        <v>0</v>
      </c>
      <c r="D58" s="5"/>
      <c r="E58" s="11" t="s">
        <v>19</v>
      </c>
      <c r="F58" s="5">
        <f>0-G58</f>
        <v>0</v>
      </c>
      <c r="G58" s="5"/>
      <c r="H58" s="10"/>
      <c r="I58" s="5"/>
      <c r="J58" s="10"/>
      <c r="K58" s="5"/>
      <c r="L58" s="5"/>
      <c r="M58" s="10" t="s">
        <v>268</v>
      </c>
      <c r="N58" s="5">
        <f>299+374.13</f>
        <v>673.13</v>
      </c>
      <c r="O58" s="10"/>
      <c r="P58" s="5"/>
      <c r="Q58" s="10" t="s">
        <v>255</v>
      </c>
      <c r="R58" s="5">
        <v>616</v>
      </c>
      <c r="S58" s="10" t="s">
        <v>264</v>
      </c>
      <c r="T58" s="5">
        <v>616</v>
      </c>
    </row>
    <row r="59" spans="2:20" ht="14.4">
      <c r="B59" s="11" t="s">
        <v>65</v>
      </c>
      <c r="C59" s="5">
        <f>0-D59</f>
        <v>0</v>
      </c>
      <c r="D59" s="5"/>
      <c r="E59" s="11" t="s">
        <v>65</v>
      </c>
      <c r="F59" s="5">
        <f>500-G59</f>
        <v>500</v>
      </c>
      <c r="G59" s="5"/>
      <c r="H59" s="10"/>
      <c r="I59" s="5"/>
      <c r="J59" s="10"/>
      <c r="K59" s="5"/>
      <c r="L59" s="5"/>
      <c r="M59" s="10" t="s">
        <v>269</v>
      </c>
      <c r="N59" s="5">
        <f>(23.06+32.39)*60.5</f>
        <v>3354.7250000000004</v>
      </c>
      <c r="O59" s="10"/>
      <c r="P59" s="5"/>
      <c r="Q59" s="10" t="s">
        <v>250</v>
      </c>
      <c r="R59" s="5">
        <v>237</v>
      </c>
      <c r="S59" s="10" t="s">
        <v>265</v>
      </c>
      <c r="T59" s="5">
        <v>616</v>
      </c>
    </row>
    <row r="60" spans="2:20" ht="14.4">
      <c r="B60" s="11" t="s">
        <v>66</v>
      </c>
      <c r="C60" s="5">
        <f>2000-D60</f>
        <v>2000</v>
      </c>
      <c r="D60" s="5"/>
      <c r="E60" s="11" t="s">
        <v>66</v>
      </c>
      <c r="F60" s="5">
        <f>2000-G60</f>
        <v>2000</v>
      </c>
      <c r="G60" s="5"/>
      <c r="H60" s="5"/>
      <c r="I60" s="5"/>
      <c r="J60" s="5"/>
      <c r="K60" s="5"/>
      <c r="L60" s="5"/>
      <c r="M60" s="10" t="s">
        <v>109</v>
      </c>
      <c r="N60" s="5">
        <v>11365.45</v>
      </c>
      <c r="O60" s="10"/>
      <c r="P60" s="5"/>
      <c r="Q60" s="10" t="s">
        <v>258</v>
      </c>
      <c r="R60" s="5">
        <v>616</v>
      </c>
      <c r="S60" s="10" t="s">
        <v>266</v>
      </c>
      <c r="T60" s="5">
        <v>616</v>
      </c>
    </row>
    <row r="61" spans="2:20" ht="14.4">
      <c r="B61" s="11" t="s">
        <v>36</v>
      </c>
      <c r="C61" s="5">
        <f>500-D61</f>
        <v>500</v>
      </c>
      <c r="D61" s="5"/>
      <c r="E61" s="11" t="s">
        <v>36</v>
      </c>
      <c r="F61" s="5">
        <f>500-G61</f>
        <v>500</v>
      </c>
      <c r="G61" s="5"/>
      <c r="H61" s="5"/>
      <c r="I61" s="5"/>
      <c r="J61" s="5"/>
      <c r="K61" s="5"/>
      <c r="L61" s="5"/>
      <c r="M61" s="10" t="s">
        <v>243</v>
      </c>
      <c r="N61" s="5">
        <v>9971.7900000000009</v>
      </c>
      <c r="O61" s="10"/>
      <c r="P61" s="5"/>
      <c r="Q61" s="10" t="s">
        <v>259</v>
      </c>
      <c r="R61" s="5">
        <v>616</v>
      </c>
      <c r="S61" s="10" t="s">
        <v>267</v>
      </c>
      <c r="T61" s="5">
        <v>616</v>
      </c>
    </row>
    <row r="62" spans="2:20" ht="14.4">
      <c r="B62" s="11" t="s">
        <v>57</v>
      </c>
      <c r="C62" s="5">
        <f>SUM(R54:R67)-D62</f>
        <v>1848</v>
      </c>
      <c r="D62" s="5">
        <f>SUM(R54:R59)</f>
        <v>4485</v>
      </c>
      <c r="E62" s="11" t="s">
        <v>57</v>
      </c>
      <c r="F62" s="5">
        <f>SUM(T54:T67)-G62</f>
        <v>9100.06</v>
      </c>
      <c r="G62" s="5"/>
      <c r="H62" s="5"/>
      <c r="I62" s="5"/>
      <c r="J62" s="5"/>
      <c r="K62" s="5"/>
      <c r="L62" s="5"/>
      <c r="M62" s="10" t="s">
        <v>61</v>
      </c>
      <c r="N62" s="5">
        <v>10000</v>
      </c>
      <c r="O62" s="10"/>
      <c r="P62" s="5"/>
      <c r="Q62" s="10" t="s">
        <v>260</v>
      </c>
      <c r="R62" s="5">
        <v>616</v>
      </c>
      <c r="S62" s="10" t="s">
        <v>272</v>
      </c>
      <c r="T62" s="5">
        <v>3288.06</v>
      </c>
    </row>
    <row r="63" spans="2:20" ht="14.4">
      <c r="B63" s="11" t="s">
        <v>21</v>
      </c>
      <c r="C63" s="5">
        <f>1400-D63</f>
        <v>-2.0999999999999091</v>
      </c>
      <c r="D63" s="5">
        <f>1400+2.1</f>
        <v>1402.1</v>
      </c>
      <c r="E63" s="11" t="s">
        <v>58</v>
      </c>
      <c r="F63" s="5">
        <f>250-G63</f>
        <v>250</v>
      </c>
      <c r="G63" s="5"/>
      <c r="H63" s="5"/>
      <c r="I63" s="5"/>
      <c r="J63" s="5"/>
      <c r="K63" s="5"/>
      <c r="L63" s="5"/>
      <c r="M63" s="10" t="s">
        <v>244</v>
      </c>
      <c r="N63" s="5">
        <f>165+7.5</f>
        <v>172.5</v>
      </c>
      <c r="O63" s="10"/>
      <c r="P63" s="5"/>
      <c r="Q63" s="10"/>
      <c r="R63" s="5"/>
      <c r="S63" s="10"/>
      <c r="T63" s="5"/>
    </row>
    <row r="64" spans="2:20" ht="14.4">
      <c r="B64" s="11" t="s">
        <v>22</v>
      </c>
      <c r="C64" s="5">
        <f>249-D64</f>
        <v>0</v>
      </c>
      <c r="D64" s="5">
        <v>249</v>
      </c>
      <c r="E64" s="11" t="s">
        <v>61</v>
      </c>
      <c r="F64" s="5">
        <f>1000-G64</f>
        <v>1000</v>
      </c>
      <c r="G64" s="5"/>
      <c r="H64" s="5"/>
      <c r="I64" s="5"/>
      <c r="J64" s="5"/>
      <c r="K64" s="5"/>
      <c r="L64" s="5"/>
      <c r="M64" s="10" t="s">
        <v>245</v>
      </c>
      <c r="N64" s="5">
        <v>444</v>
      </c>
      <c r="O64" s="10"/>
      <c r="P64" s="5"/>
      <c r="Q64" s="10"/>
      <c r="R64" s="5"/>
      <c r="S64" s="10"/>
      <c r="T64" s="5"/>
    </row>
    <row r="65" spans="2:20" ht="14.4">
      <c r="B65" s="11" t="s">
        <v>20</v>
      </c>
      <c r="C65" s="5">
        <f>1281.62-D65</f>
        <v>0</v>
      </c>
      <c r="D65" s="5">
        <v>1281.6199999999999</v>
      </c>
      <c r="E65" s="11" t="s">
        <v>60</v>
      </c>
      <c r="F65" s="5">
        <f>3000-G65</f>
        <v>3000</v>
      </c>
      <c r="G65" s="5"/>
      <c r="H65" s="5"/>
      <c r="I65" s="5"/>
      <c r="J65" s="5"/>
      <c r="K65" s="5"/>
      <c r="L65" s="5"/>
      <c r="M65" s="10" t="s">
        <v>246</v>
      </c>
      <c r="N65" s="5">
        <v>696</v>
      </c>
      <c r="O65" s="10"/>
      <c r="P65" s="5"/>
      <c r="Q65" s="10"/>
      <c r="R65" s="5"/>
      <c r="S65" s="10"/>
      <c r="T65" s="5"/>
    </row>
    <row r="66" spans="2:20" ht="15" thickBot="1">
      <c r="B66" s="12" t="s">
        <v>23</v>
      </c>
      <c r="C66" s="13">
        <f>SUM(N54:N67)-D66</f>
        <v>13600</v>
      </c>
      <c r="D66" s="13">
        <f>SUM(N54:N61)+SUM(N63:N66)</f>
        <v>38362.47</v>
      </c>
      <c r="E66" s="12" t="s">
        <v>23</v>
      </c>
      <c r="F66" s="13">
        <f>SUM(P54:P67)-G66</f>
        <v>3410</v>
      </c>
      <c r="G66" s="13"/>
      <c r="H66" s="13"/>
      <c r="I66" s="13"/>
      <c r="J66" s="13"/>
      <c r="K66" s="13"/>
      <c r="L66" s="5"/>
      <c r="M66" s="10" t="s">
        <v>247</v>
      </c>
      <c r="N66" s="5">
        <v>5000</v>
      </c>
      <c r="O66" s="10"/>
      <c r="P66" s="5"/>
      <c r="Q66" s="10"/>
      <c r="R66" s="5"/>
      <c r="S66" s="10"/>
      <c r="T66" s="5"/>
    </row>
    <row r="67" spans="2:20" ht="16.5" customHeight="1" thickTop="1" thickBot="1">
      <c r="B67" s="6" t="s">
        <v>24</v>
      </c>
      <c r="C67" s="14">
        <f>SUMIF(C54:C66,"&gt;0")+SUMIF(D54:D66,"&gt;0")</f>
        <v>103812.09</v>
      </c>
      <c r="D67" s="14"/>
      <c r="E67" s="6" t="s">
        <v>25</v>
      </c>
      <c r="F67" s="14">
        <f>SUMIF(F54:F66,"&gt;0")+SUMIF(G54:G66,"&gt;0")</f>
        <v>37695.159999999996</v>
      </c>
      <c r="G67" s="94" t="s">
        <v>26</v>
      </c>
      <c r="H67" s="96" t="s">
        <v>27</v>
      </c>
      <c r="I67" s="97">
        <f>SUM(I54:I66)</f>
        <v>225976.5</v>
      </c>
      <c r="J67" s="96" t="s">
        <v>27</v>
      </c>
      <c r="K67" s="97">
        <f>SUM(K54:K66)</f>
        <v>32967.89</v>
      </c>
      <c r="L67" s="5"/>
      <c r="M67" s="10" t="s">
        <v>252</v>
      </c>
      <c r="N67" s="5">
        <f>600+1500+1500</f>
        <v>3600</v>
      </c>
      <c r="O67" s="10"/>
      <c r="P67" s="5"/>
      <c r="Q67" s="10"/>
      <c r="R67" s="5"/>
      <c r="S67" s="10"/>
      <c r="T67" s="5"/>
    </row>
    <row r="68" spans="2:20" ht="16.5" customHeight="1" thickTop="1" thickBot="1">
      <c r="B68" s="6" t="s">
        <v>28</v>
      </c>
      <c r="C68" s="14">
        <f>SUMIF(C54:C66,"&gt;0")</f>
        <v>17948</v>
      </c>
      <c r="D68" s="14"/>
      <c r="E68" s="6" t="s">
        <v>28</v>
      </c>
      <c r="F68" s="14">
        <f>SUMIF(F54:F66,"&gt;0")</f>
        <v>19799.059999999998</v>
      </c>
      <c r="G68" s="94"/>
      <c r="H68" s="96"/>
      <c r="I68" s="97"/>
      <c r="J68" s="96"/>
      <c r="K68" s="97"/>
      <c r="L68" s="5"/>
      <c r="M68" s="6" t="s">
        <v>29</v>
      </c>
      <c r="N68" s="14">
        <f>SUM(N54:N67)</f>
        <v>51962.47</v>
      </c>
      <c r="O68" s="6" t="s">
        <v>29</v>
      </c>
      <c r="P68" s="14">
        <f>SUM(P54:P67)</f>
        <v>3410</v>
      </c>
      <c r="Q68" s="6" t="s">
        <v>29</v>
      </c>
      <c r="R68" s="14">
        <f>SUM(R54:R67)</f>
        <v>6333</v>
      </c>
      <c r="S68" s="6" t="s">
        <v>29</v>
      </c>
      <c r="T68" s="14">
        <f>SUM(T54:T67)</f>
        <v>9100.06</v>
      </c>
    </row>
    <row r="69" spans="2:20" ht="22.2" thickTop="1" thickBot="1">
      <c r="B69" s="6" t="s">
        <v>30</v>
      </c>
      <c r="C69" s="14">
        <f>I67-C67</f>
        <v>122164.41</v>
      </c>
      <c r="D69" s="14"/>
      <c r="E69" s="6" t="s">
        <v>31</v>
      </c>
      <c r="F69" s="14">
        <f>K67-F67</f>
        <v>-4727.2699999999968</v>
      </c>
      <c r="G69" s="15">
        <f>C69+F69</f>
        <v>117437.14000000001</v>
      </c>
      <c r="H69" s="6" t="s">
        <v>32</v>
      </c>
      <c r="I69" s="16">
        <f>SUM(I67+K67)</f>
        <v>258944.39</v>
      </c>
      <c r="J69" s="6" t="s">
        <v>33</v>
      </c>
      <c r="K69" s="14">
        <f>C67+F67</f>
        <v>141507.25</v>
      </c>
      <c r="L69" s="13"/>
      <c r="M69" s="6" t="s">
        <v>34</v>
      </c>
      <c r="N69" s="91">
        <f>N68+P68</f>
        <v>55372.47</v>
      </c>
      <c r="O69" s="91"/>
      <c r="P69" s="91"/>
      <c r="Q69" s="6" t="s">
        <v>34</v>
      </c>
      <c r="R69" s="91">
        <f>R68+T68</f>
        <v>15433.06</v>
      </c>
      <c r="S69" s="91"/>
      <c r="T69" s="91"/>
    </row>
    <row r="70" spans="2:20" ht="14.4" thickTop="1"/>
    <row r="71" spans="2:20">
      <c r="E71">
        <f>5252.1-4456.08</f>
        <v>796.02000000000044</v>
      </c>
      <c r="F71">
        <v>2256.9499999999998</v>
      </c>
      <c r="G71">
        <f>F71+E71</f>
        <v>3052.9700000000003</v>
      </c>
    </row>
    <row r="72" spans="2:20" ht="14.4" thickBot="1"/>
    <row r="73" spans="2:20" ht="21" thickTop="1" thickBot="1">
      <c r="B73" s="92" t="s">
        <v>39</v>
      </c>
      <c r="C73" s="92"/>
      <c r="D73" s="92"/>
      <c r="E73" s="92"/>
      <c r="F73" s="92"/>
      <c r="G73" s="92"/>
      <c r="H73" s="92" t="s">
        <v>40</v>
      </c>
      <c r="I73" s="92"/>
      <c r="J73" s="92"/>
      <c r="K73" s="92"/>
      <c r="L73" s="4"/>
      <c r="M73" s="92" t="s">
        <v>6</v>
      </c>
      <c r="N73" s="92"/>
      <c r="O73" s="92"/>
      <c r="P73" s="92"/>
      <c r="Q73" s="92" t="s">
        <v>62</v>
      </c>
      <c r="R73" s="92"/>
      <c r="S73" s="92"/>
      <c r="T73" s="92"/>
    </row>
    <row r="74" spans="2:20" ht="18.600000000000001" thickTop="1" thickBot="1">
      <c r="B74" s="94" t="s">
        <v>8</v>
      </c>
      <c r="C74" s="94"/>
      <c r="D74" s="94"/>
      <c r="E74" s="94" t="s">
        <v>9</v>
      </c>
      <c r="F74" s="94"/>
      <c r="G74" s="94"/>
      <c r="H74" s="94" t="s">
        <v>8</v>
      </c>
      <c r="I74" s="94"/>
      <c r="J74" s="94" t="s">
        <v>9</v>
      </c>
      <c r="K74" s="94"/>
      <c r="L74" s="5"/>
      <c r="M74" s="94" t="s">
        <v>8</v>
      </c>
      <c r="N74" s="94"/>
      <c r="O74" s="94" t="s">
        <v>9</v>
      </c>
      <c r="P74" s="94"/>
      <c r="Q74" s="94" t="s">
        <v>8</v>
      </c>
      <c r="R74" s="94"/>
      <c r="S74" s="94" t="s">
        <v>9</v>
      </c>
      <c r="T74" s="94"/>
    </row>
    <row r="75" spans="2:20" ht="15.6" thickTop="1" thickBot="1">
      <c r="B75" s="93" t="s">
        <v>13</v>
      </c>
      <c r="C75" s="93"/>
      <c r="D75" s="6" t="s">
        <v>12</v>
      </c>
      <c r="E75" s="93" t="s">
        <v>13</v>
      </c>
      <c r="F75" s="93"/>
      <c r="G75" s="6" t="s">
        <v>12</v>
      </c>
      <c r="H75" s="93" t="s">
        <v>14</v>
      </c>
      <c r="I75" s="93"/>
      <c r="J75" s="93" t="s">
        <v>14</v>
      </c>
      <c r="K75" s="93"/>
      <c r="L75" s="5"/>
      <c r="M75" s="93" t="s">
        <v>13</v>
      </c>
      <c r="N75" s="93"/>
      <c r="O75" s="93" t="s">
        <v>13</v>
      </c>
      <c r="P75" s="93"/>
      <c r="Q75" s="93" t="s">
        <v>13</v>
      </c>
      <c r="R75" s="93"/>
      <c r="S75" s="93" t="s">
        <v>13</v>
      </c>
      <c r="T75" s="93"/>
    </row>
    <row r="76" spans="2:20" ht="15" thickTop="1">
      <c r="B76" s="9" t="s">
        <v>16</v>
      </c>
      <c r="C76" s="4">
        <f>3783+(I77*0.1)+(I78*0.1)-D76</f>
        <v>2000</v>
      </c>
      <c r="D76" s="4">
        <f>3783</f>
        <v>3783</v>
      </c>
      <c r="E76" s="9" t="s">
        <v>16</v>
      </c>
      <c r="F76" s="4">
        <f>3783+(K77*0.1)+(K78*0.1)-G76</f>
        <v>0</v>
      </c>
      <c r="G76" s="4">
        <v>3783</v>
      </c>
      <c r="H76" s="10" t="s">
        <v>64</v>
      </c>
      <c r="I76" s="5">
        <v>30461.83</v>
      </c>
      <c r="J76" s="10" t="s">
        <v>64</v>
      </c>
      <c r="K76" s="5">
        <v>32967.89</v>
      </c>
      <c r="L76" s="5"/>
      <c r="M76" s="10" t="s">
        <v>286</v>
      </c>
      <c r="N76">
        <f>579.98+140+140</f>
        <v>859.98</v>
      </c>
      <c r="O76" s="10" t="s">
        <v>125</v>
      </c>
      <c r="P76" s="5">
        <v>430</v>
      </c>
      <c r="Q76" s="10" t="s">
        <v>107</v>
      </c>
      <c r="R76" s="5"/>
      <c r="S76" s="10" t="s">
        <v>97</v>
      </c>
      <c r="T76" s="5">
        <v>2100</v>
      </c>
    </row>
    <row r="77" spans="2:20" ht="14.4">
      <c r="B77" s="11" t="s">
        <v>17</v>
      </c>
      <c r="C77" s="5">
        <f>12000-D77</f>
        <v>-449.17000000000007</v>
      </c>
      <c r="D77" s="5">
        <f>203+9257+2111.85+877.32</f>
        <v>12449.17</v>
      </c>
      <c r="E77" s="11" t="s">
        <v>150</v>
      </c>
      <c r="F77" s="5">
        <f>12000-G77</f>
        <v>-4869.8499999999985</v>
      </c>
      <c r="G77" s="5">
        <f>10657+362+1993.48+490.21+1562.36+1804.8</f>
        <v>16869.849999999999</v>
      </c>
      <c r="H77" s="10" t="s">
        <v>112</v>
      </c>
      <c r="I77" s="5">
        <v>20000</v>
      </c>
      <c r="J77" s="10"/>
      <c r="K77" s="5"/>
      <c r="L77" s="5"/>
      <c r="M77" s="10" t="s">
        <v>85</v>
      </c>
      <c r="N77">
        <v>653.15</v>
      </c>
      <c r="O77" s="10" t="s">
        <v>292</v>
      </c>
      <c r="P77" s="39">
        <v>335</v>
      </c>
      <c r="Q77" s="10" t="s">
        <v>277</v>
      </c>
      <c r="R77" s="5">
        <v>1725</v>
      </c>
      <c r="S77" s="10" t="s">
        <v>289</v>
      </c>
      <c r="T77" s="5">
        <v>2521.35</v>
      </c>
    </row>
    <row r="78" spans="2:20" ht="14.4">
      <c r="B78" s="11" t="s">
        <v>18</v>
      </c>
      <c r="C78" s="5">
        <f>4000-D78</f>
        <v>-850</v>
      </c>
      <c r="D78" s="5">
        <v>4850</v>
      </c>
      <c r="E78" s="11" t="s">
        <v>18</v>
      </c>
      <c r="F78" s="5">
        <f>4000-G78</f>
        <v>0</v>
      </c>
      <c r="G78" s="5">
        <f>2000+2000</f>
        <v>4000</v>
      </c>
      <c r="H78" s="10"/>
      <c r="I78" s="5"/>
      <c r="J78" s="10"/>
      <c r="K78" s="5"/>
      <c r="L78" s="5"/>
      <c r="M78" s="10" t="s">
        <v>68</v>
      </c>
      <c r="N78" s="5">
        <v>692.76</v>
      </c>
      <c r="O78" s="10" t="s">
        <v>293</v>
      </c>
      <c r="P78" s="5">
        <v>8200</v>
      </c>
      <c r="Q78" s="10" t="s">
        <v>279</v>
      </c>
      <c r="R78" s="5">
        <v>616</v>
      </c>
      <c r="S78" s="10" t="s">
        <v>290</v>
      </c>
      <c r="T78" s="5">
        <v>616</v>
      </c>
    </row>
    <row r="79" spans="2:20" ht="14.4">
      <c r="B79" s="11"/>
      <c r="C79" s="5"/>
      <c r="D79" s="5"/>
      <c r="E79" s="11"/>
      <c r="F79" s="5"/>
      <c r="G79" s="5" t="s">
        <v>241</v>
      </c>
      <c r="H79" s="10"/>
      <c r="I79" s="5"/>
      <c r="J79" s="10"/>
      <c r="K79" s="5"/>
      <c r="L79" s="5"/>
      <c r="M79" s="10" t="s">
        <v>99</v>
      </c>
      <c r="N79" s="5">
        <v>1324.61</v>
      </c>
      <c r="O79" s="10" t="s">
        <v>295</v>
      </c>
      <c r="P79" s="5">
        <v>495</v>
      </c>
      <c r="Q79" s="10" t="s">
        <v>279</v>
      </c>
      <c r="R79" s="5">
        <v>616</v>
      </c>
      <c r="S79" s="10" t="s">
        <v>291</v>
      </c>
      <c r="T79" s="5">
        <v>415</v>
      </c>
    </row>
    <row r="80" spans="2:20" ht="14.4">
      <c r="B80" s="11" t="s">
        <v>19</v>
      </c>
      <c r="C80" s="5">
        <f>0-D80</f>
        <v>0</v>
      </c>
      <c r="D80" s="5"/>
      <c r="E80" s="11" t="s">
        <v>19</v>
      </c>
      <c r="F80" s="5">
        <f>0-G80</f>
        <v>0</v>
      </c>
      <c r="G80" s="5"/>
      <c r="H80" s="10"/>
      <c r="I80" s="5"/>
      <c r="J80" s="10"/>
      <c r="K80" s="5"/>
      <c r="L80" s="5"/>
      <c r="M80" s="10" t="s">
        <v>98</v>
      </c>
      <c r="N80" s="5">
        <v>315.76</v>
      </c>
      <c r="O80" s="10" t="s">
        <v>296</v>
      </c>
      <c r="P80" s="5">
        <v>579.98</v>
      </c>
      <c r="Q80" s="10" t="s">
        <v>279</v>
      </c>
      <c r="R80" s="5">
        <v>616</v>
      </c>
      <c r="S80" s="10" t="s">
        <v>294</v>
      </c>
      <c r="T80" s="5">
        <v>181.68</v>
      </c>
    </row>
    <row r="81" spans="2:20" ht="14.4">
      <c r="B81" s="11" t="s">
        <v>65</v>
      </c>
      <c r="C81" s="5">
        <f>0-D81</f>
        <v>0</v>
      </c>
      <c r="D81" s="5"/>
      <c r="E81" s="11" t="s">
        <v>65</v>
      </c>
      <c r="F81" s="5">
        <f>0-G81</f>
        <v>0</v>
      </c>
      <c r="G81" s="5"/>
      <c r="H81" s="10"/>
      <c r="I81" s="5"/>
      <c r="J81" s="10"/>
      <c r="K81" s="5"/>
      <c r="L81" s="5"/>
      <c r="M81" s="10" t="s">
        <v>111</v>
      </c>
      <c r="N81" s="5">
        <v>329</v>
      </c>
      <c r="O81" s="10" t="s">
        <v>297</v>
      </c>
      <c r="P81" s="5">
        <v>140</v>
      </c>
      <c r="Q81" s="10" t="s">
        <v>279</v>
      </c>
      <c r="R81" s="5">
        <v>616</v>
      </c>
      <c r="S81" s="10"/>
      <c r="T81" s="5"/>
    </row>
    <row r="82" spans="2:20" ht="14.4">
      <c r="B82" s="11" t="s">
        <v>66</v>
      </c>
      <c r="C82" s="5">
        <f>2000-D82</f>
        <v>0</v>
      </c>
      <c r="D82" s="5">
        <v>2000</v>
      </c>
      <c r="E82" s="11" t="s">
        <v>66</v>
      </c>
      <c r="F82" s="5">
        <f>2000-G82</f>
        <v>0</v>
      </c>
      <c r="G82" s="5">
        <v>2000</v>
      </c>
      <c r="H82" s="5"/>
      <c r="I82" s="5"/>
      <c r="J82" s="5"/>
      <c r="K82" s="5"/>
      <c r="L82" s="5"/>
      <c r="M82" s="10" t="s">
        <v>109</v>
      </c>
      <c r="N82" s="5">
        <v>11365.45</v>
      </c>
      <c r="O82" s="10"/>
      <c r="P82" s="5"/>
      <c r="Q82" s="10" t="s">
        <v>285</v>
      </c>
      <c r="R82" s="5">
        <v>279.02999999999997</v>
      </c>
      <c r="S82" s="10"/>
      <c r="T82" s="5"/>
    </row>
    <row r="83" spans="2:20" ht="14.4">
      <c r="B83" s="11" t="s">
        <v>36</v>
      </c>
      <c r="C83" s="5">
        <f>500-D83</f>
        <v>500</v>
      </c>
      <c r="D83" s="5"/>
      <c r="E83" s="11" t="s">
        <v>36</v>
      </c>
      <c r="F83" s="5">
        <f>500-G83</f>
        <v>500</v>
      </c>
      <c r="G83" s="5"/>
      <c r="H83" s="5"/>
      <c r="I83" s="5"/>
      <c r="J83" s="5"/>
      <c r="K83" s="5"/>
      <c r="L83" s="5"/>
      <c r="M83" s="10" t="s">
        <v>274</v>
      </c>
      <c r="N83" s="5">
        <v>300</v>
      </c>
      <c r="O83" s="10"/>
      <c r="P83" s="5"/>
      <c r="Q83" s="10"/>
      <c r="R83" s="5"/>
      <c r="S83" s="10"/>
      <c r="T83" s="5"/>
    </row>
    <row r="84" spans="2:20" ht="14.4">
      <c r="B84" s="11" t="s">
        <v>57</v>
      </c>
      <c r="C84" s="5">
        <f>SUM(R76:R89)-D84</f>
        <v>1511.0299999999997</v>
      </c>
      <c r="D84" s="5">
        <f>SUM(R77:R79)</f>
        <v>2957</v>
      </c>
      <c r="E84" s="11" t="s">
        <v>57</v>
      </c>
      <c r="F84" s="5">
        <f>SUM(T76:T89)-G84</f>
        <v>5834.0300000000007</v>
      </c>
      <c r="G84" s="5"/>
      <c r="H84" s="5"/>
      <c r="I84" s="5"/>
      <c r="J84" s="5"/>
      <c r="K84" s="5"/>
      <c r="L84" s="5"/>
      <c r="M84" s="10" t="s">
        <v>275</v>
      </c>
      <c r="N84" s="5">
        <v>160</v>
      </c>
      <c r="O84" s="10"/>
      <c r="P84" s="5"/>
      <c r="Q84" s="10"/>
      <c r="R84" s="5"/>
      <c r="S84" s="10"/>
      <c r="T84" s="5"/>
    </row>
    <row r="85" spans="2:20" ht="14.4">
      <c r="B85" s="11" t="s">
        <v>21</v>
      </c>
      <c r="C85" s="5">
        <f>1400-D85</f>
        <v>0</v>
      </c>
      <c r="D85" s="5">
        <f>1400</f>
        <v>1400</v>
      </c>
      <c r="E85" s="11" t="s">
        <v>58</v>
      </c>
      <c r="F85" s="5">
        <f>250-G85</f>
        <v>250</v>
      </c>
      <c r="G85" s="5"/>
      <c r="H85" s="5"/>
      <c r="I85" s="5"/>
      <c r="J85" s="5"/>
      <c r="K85" s="5"/>
      <c r="L85" s="5"/>
      <c r="M85" s="10" t="s">
        <v>276</v>
      </c>
      <c r="N85" s="5">
        <v>250</v>
      </c>
      <c r="O85" s="10"/>
      <c r="P85" s="5"/>
      <c r="Q85" s="10"/>
      <c r="R85" s="5"/>
      <c r="S85" s="10"/>
      <c r="T85" s="5"/>
    </row>
    <row r="86" spans="2:20" ht="14.4">
      <c r="B86" s="11" t="s">
        <v>22</v>
      </c>
      <c r="C86" s="5">
        <f>249-D86</f>
        <v>-0.40000000000000568</v>
      </c>
      <c r="D86" s="5">
        <v>249.4</v>
      </c>
      <c r="E86" s="11" t="s">
        <v>61</v>
      </c>
      <c r="F86" s="5">
        <f>1000-G86</f>
        <v>-3000</v>
      </c>
      <c r="G86" s="5">
        <v>4000</v>
      </c>
      <c r="H86" s="5"/>
      <c r="I86" s="5"/>
      <c r="J86" s="5"/>
      <c r="K86" s="5"/>
      <c r="L86" s="5"/>
      <c r="M86" s="10" t="s">
        <v>288</v>
      </c>
      <c r="N86" s="5">
        <f>1000+150</f>
        <v>1150</v>
      </c>
      <c r="O86" s="10"/>
      <c r="P86" s="5"/>
      <c r="Q86" s="10"/>
      <c r="R86" s="5"/>
      <c r="S86" s="10"/>
      <c r="T86" s="5"/>
    </row>
    <row r="87" spans="2:20" ht="14.4">
      <c r="B87" s="11" t="s">
        <v>20</v>
      </c>
      <c r="C87" s="5">
        <f>2041.21-D87</f>
        <v>0</v>
      </c>
      <c r="D87" s="5">
        <v>2041.21</v>
      </c>
      <c r="E87" s="11" t="s">
        <v>273</v>
      </c>
      <c r="F87" s="5">
        <f>3000-G87</f>
        <v>0</v>
      </c>
      <c r="G87" s="5">
        <v>3000</v>
      </c>
      <c r="H87" s="5"/>
      <c r="I87" s="5"/>
      <c r="J87" s="5"/>
      <c r="K87" s="5"/>
      <c r="L87" s="5"/>
      <c r="M87" s="10" t="s">
        <v>278</v>
      </c>
      <c r="N87" s="5">
        <f>270</f>
        <v>270</v>
      </c>
      <c r="O87" s="10"/>
      <c r="P87" s="5"/>
      <c r="Q87" s="10"/>
      <c r="R87" s="5"/>
      <c r="S87" s="10"/>
      <c r="T87" s="5"/>
    </row>
    <row r="88" spans="2:20" ht="15" thickBot="1">
      <c r="B88" s="12" t="s">
        <v>23</v>
      </c>
      <c r="C88" s="13">
        <f>SUM(N76:N89)-D88</f>
        <v>6039.239999999998</v>
      </c>
      <c r="D88" s="13">
        <f>N80+N81+N86+N83+N84+N85+N79+N78+N76+N87+9529.34</f>
        <v>15181.45</v>
      </c>
      <c r="E88" s="12" t="s">
        <v>23</v>
      </c>
      <c r="F88" s="13">
        <f>SUM(P76:P89)-G88</f>
        <v>10179.98</v>
      </c>
      <c r="G88" s="13"/>
      <c r="H88" s="13"/>
      <c r="I88" s="13"/>
      <c r="J88" s="13"/>
      <c r="K88" s="13"/>
      <c r="L88" s="5"/>
      <c r="M88" s="10" t="s">
        <v>284</v>
      </c>
      <c r="N88" s="5">
        <f>2200+470</f>
        <v>2670</v>
      </c>
      <c r="O88" s="10"/>
      <c r="P88" s="5"/>
      <c r="Q88" s="10"/>
      <c r="R88" s="5"/>
      <c r="S88" s="10"/>
      <c r="T88" s="5"/>
    </row>
    <row r="89" spans="2:20" ht="16.5" customHeight="1" thickTop="1" thickBot="1">
      <c r="B89" s="6" t="s">
        <v>24</v>
      </c>
      <c r="C89" s="14">
        <f>SUMIF(C76:C88,"&gt;0")+SUMIF(D76:D88,"&gt;0")</f>
        <v>54961.499999999993</v>
      </c>
      <c r="D89" s="14"/>
      <c r="E89" s="6" t="s">
        <v>25</v>
      </c>
      <c r="F89" s="14">
        <f>SUMIF(F76:F88,"&gt;0")+SUMIF(G76:G88,"&gt;0")</f>
        <v>50416.86</v>
      </c>
      <c r="G89" s="94" t="s">
        <v>26</v>
      </c>
      <c r="H89" s="96" t="s">
        <v>27</v>
      </c>
      <c r="I89" s="97">
        <f>SUM(I76:I88)</f>
        <v>50461.83</v>
      </c>
      <c r="J89" s="96" t="s">
        <v>27</v>
      </c>
      <c r="K89" s="97">
        <f>SUM(K76:K88)</f>
        <v>32967.89</v>
      </c>
      <c r="L89" s="5"/>
      <c r="M89" s="10" t="s">
        <v>287</v>
      </c>
      <c r="N89" s="5">
        <f>579.98+300</f>
        <v>879.98</v>
      </c>
      <c r="O89" s="10"/>
      <c r="P89" s="5"/>
      <c r="Q89" s="10"/>
      <c r="R89" s="5"/>
      <c r="S89" s="10"/>
      <c r="T89" s="5"/>
    </row>
    <row r="90" spans="2:20" ht="16.5" customHeight="1" thickTop="1" thickBot="1">
      <c r="B90" s="6" t="s">
        <v>28</v>
      </c>
      <c r="C90" s="14">
        <f>SUMIF(C76:C88,"&gt;0")</f>
        <v>10050.269999999997</v>
      </c>
      <c r="D90" s="14"/>
      <c r="E90" s="6" t="s">
        <v>28</v>
      </c>
      <c r="F90" s="14">
        <f>SUMIF(F76:F88,"&gt;0")</f>
        <v>16764.010000000002</v>
      </c>
      <c r="G90" s="94"/>
      <c r="H90" s="96"/>
      <c r="I90" s="97"/>
      <c r="J90" s="96"/>
      <c r="K90" s="97"/>
      <c r="L90" s="5"/>
      <c r="M90" s="6" t="s">
        <v>29</v>
      </c>
      <c r="N90" s="14">
        <f>SUM(N76:N89)</f>
        <v>21220.69</v>
      </c>
      <c r="O90" s="6" t="s">
        <v>29</v>
      </c>
      <c r="P90" s="14">
        <f>SUM(P76:P89)</f>
        <v>10179.98</v>
      </c>
      <c r="Q90" s="6" t="s">
        <v>29</v>
      </c>
      <c r="R90" s="14">
        <f>SUM(R76:R89)</f>
        <v>4468.03</v>
      </c>
      <c r="S90" s="6" t="s">
        <v>29</v>
      </c>
      <c r="T90" s="14">
        <f>SUM(T76:T89)</f>
        <v>5834.0300000000007</v>
      </c>
    </row>
    <row r="91" spans="2:20" ht="22.2" thickTop="1" thickBot="1">
      <c r="B91" s="6" t="s">
        <v>30</v>
      </c>
      <c r="C91" s="14">
        <f>I89-C89</f>
        <v>-4499.669999999991</v>
      </c>
      <c r="D91" s="14"/>
      <c r="E91" s="6" t="s">
        <v>31</v>
      </c>
      <c r="F91" s="14">
        <f>K89-F89</f>
        <v>-17448.97</v>
      </c>
      <c r="G91" s="15">
        <f>C91+F91</f>
        <v>-21948.639999999992</v>
      </c>
      <c r="H91" s="6" t="s">
        <v>32</v>
      </c>
      <c r="I91" s="16">
        <f>SUM(I89+K89)</f>
        <v>83429.72</v>
      </c>
      <c r="J91" s="6" t="s">
        <v>33</v>
      </c>
      <c r="K91" s="14">
        <f>C89+F89</f>
        <v>105378.35999999999</v>
      </c>
      <c r="L91" s="13"/>
      <c r="M91" s="6" t="s">
        <v>34</v>
      </c>
      <c r="N91" s="91">
        <f>N90+P90</f>
        <v>31400.67</v>
      </c>
      <c r="O91" s="91"/>
      <c r="P91" s="91"/>
      <c r="Q91" s="6" t="s">
        <v>34</v>
      </c>
      <c r="R91" s="91">
        <f>R90+T90</f>
        <v>10302.060000000001</v>
      </c>
      <c r="S91" s="91"/>
      <c r="T91" s="91"/>
    </row>
    <row r="92" spans="2:20" ht="14.4" thickTop="1">
      <c r="Q92" s="3"/>
      <c r="R92" s="3"/>
    </row>
    <row r="93" spans="2:20">
      <c r="Q93" s="3"/>
      <c r="R93" s="3"/>
    </row>
    <row r="94" spans="2:20" ht="14.4" thickBot="1"/>
    <row r="95" spans="2:20" ht="21" thickTop="1" thickBot="1">
      <c r="B95" s="92" t="s">
        <v>41</v>
      </c>
      <c r="C95" s="92"/>
      <c r="D95" s="92"/>
      <c r="E95" s="92"/>
      <c r="F95" s="92"/>
      <c r="G95" s="92"/>
      <c r="H95" s="92" t="s">
        <v>42</v>
      </c>
      <c r="I95" s="92"/>
      <c r="J95" s="92"/>
      <c r="K95" s="92"/>
      <c r="L95" s="4"/>
      <c r="M95" s="92" t="s">
        <v>6</v>
      </c>
      <c r="N95" s="92"/>
      <c r="O95" s="92"/>
      <c r="P95" s="92"/>
      <c r="Q95" s="92" t="s">
        <v>62</v>
      </c>
      <c r="R95" s="92"/>
      <c r="S95" s="92"/>
      <c r="T95" s="92"/>
    </row>
    <row r="96" spans="2:20" ht="18.600000000000001" thickTop="1" thickBot="1">
      <c r="B96" s="94" t="s">
        <v>8</v>
      </c>
      <c r="C96" s="94"/>
      <c r="D96" s="94"/>
      <c r="E96" s="94" t="s">
        <v>9</v>
      </c>
      <c r="F96" s="94"/>
      <c r="G96" s="94"/>
      <c r="H96" s="94" t="s">
        <v>8</v>
      </c>
      <c r="I96" s="94"/>
      <c r="J96" s="94" t="s">
        <v>9</v>
      </c>
      <c r="K96" s="94"/>
      <c r="L96" s="5"/>
      <c r="M96" s="94" t="s">
        <v>8</v>
      </c>
      <c r="N96" s="94"/>
      <c r="O96" s="94" t="s">
        <v>9</v>
      </c>
      <c r="P96" s="94"/>
      <c r="Q96" s="94" t="s">
        <v>8</v>
      </c>
      <c r="R96" s="94"/>
      <c r="S96" s="94" t="s">
        <v>9</v>
      </c>
      <c r="T96" s="94"/>
    </row>
    <row r="97" spans="2:20" ht="15.6" thickTop="1" thickBot="1">
      <c r="B97" s="93" t="s">
        <v>13</v>
      </c>
      <c r="C97" s="93"/>
      <c r="D97" s="6" t="s">
        <v>12</v>
      </c>
      <c r="E97" s="93" t="s">
        <v>13</v>
      </c>
      <c r="F97" s="93"/>
      <c r="G97" s="6" t="s">
        <v>12</v>
      </c>
      <c r="H97" s="93" t="s">
        <v>14</v>
      </c>
      <c r="I97" s="93"/>
      <c r="J97" s="93" t="s">
        <v>14</v>
      </c>
      <c r="K97" s="93"/>
      <c r="L97" s="5"/>
      <c r="M97" s="93" t="s">
        <v>13</v>
      </c>
      <c r="N97" s="93"/>
      <c r="O97" s="93" t="s">
        <v>13</v>
      </c>
      <c r="P97" s="93"/>
      <c r="Q97" s="93" t="s">
        <v>13</v>
      </c>
      <c r="R97" s="93"/>
      <c r="S97" s="93" t="s">
        <v>13</v>
      </c>
      <c r="T97" s="93"/>
    </row>
    <row r="98" spans="2:20" ht="15" thickTop="1">
      <c r="B98" s="9" t="s">
        <v>16</v>
      </c>
      <c r="C98" s="4">
        <f>3783+(I99*0.1)+(I100*0.1)-D98</f>
        <v>2000</v>
      </c>
      <c r="D98" s="4">
        <f>3783</f>
        <v>3783</v>
      </c>
      <c r="E98" s="9" t="s">
        <v>16</v>
      </c>
      <c r="F98" s="4">
        <f>3783+(K99*0.1)+(K100*0.1)-G98</f>
        <v>-1074.8000000000002</v>
      </c>
      <c r="G98" s="4">
        <f>4850+7.8</f>
        <v>4857.8</v>
      </c>
      <c r="H98" s="10" t="s">
        <v>64</v>
      </c>
      <c r="I98" s="5">
        <v>48563.81</v>
      </c>
      <c r="J98" s="10" t="s">
        <v>64</v>
      </c>
      <c r="K98" s="5">
        <v>32967.89</v>
      </c>
      <c r="L98" s="5"/>
      <c r="M98" s="10" t="s">
        <v>298</v>
      </c>
      <c r="N98" s="5">
        <v>370</v>
      </c>
      <c r="O98" s="10" t="s">
        <v>317</v>
      </c>
      <c r="P98" s="5">
        <v>625</v>
      </c>
      <c r="Q98" s="10" t="s">
        <v>97</v>
      </c>
      <c r="R98" s="5">
        <v>2000</v>
      </c>
      <c r="S98" s="10"/>
      <c r="T98" s="5"/>
    </row>
    <row r="99" spans="2:20" ht="14.4">
      <c r="B99" s="11" t="s">
        <v>17</v>
      </c>
      <c r="C99" s="5">
        <f>8000-D99</f>
        <v>8000</v>
      </c>
      <c r="D99" s="5"/>
      <c r="E99" s="11" t="s">
        <v>150</v>
      </c>
      <c r="F99" s="5">
        <f>10000-G99</f>
        <v>486.95999999999913</v>
      </c>
      <c r="G99" s="5">
        <f>1429.04+8084</f>
        <v>9513.0400000000009</v>
      </c>
      <c r="H99" s="10" t="s">
        <v>112</v>
      </c>
      <c r="I99" s="5">
        <v>20000</v>
      </c>
      <c r="J99" s="10"/>
      <c r="K99" s="5"/>
      <c r="L99" s="5"/>
      <c r="M99" s="10" t="s">
        <v>85</v>
      </c>
      <c r="N99">
        <v>653.15</v>
      </c>
      <c r="O99" s="35" t="s">
        <v>310</v>
      </c>
      <c r="P99" s="5">
        <f>(159*60)+3349.45</f>
        <v>12889.45</v>
      </c>
      <c r="Q99" s="10" t="s">
        <v>280</v>
      </c>
      <c r="R99" s="5">
        <v>700</v>
      </c>
      <c r="S99" s="10"/>
      <c r="T99" s="5"/>
    </row>
    <row r="100" spans="2:20" ht="14.4">
      <c r="B100" s="11" t="s">
        <v>18</v>
      </c>
      <c r="C100" s="5">
        <f>4200-D100</f>
        <v>4200</v>
      </c>
      <c r="D100" s="5"/>
      <c r="E100" s="11" t="s">
        <v>18</v>
      </c>
      <c r="F100" s="5">
        <f>4200-G100</f>
        <v>1200</v>
      </c>
      <c r="G100" s="5">
        <v>3000</v>
      </c>
      <c r="H100" s="10"/>
      <c r="I100" s="5"/>
      <c r="J100" s="10"/>
      <c r="K100" s="5"/>
      <c r="L100" s="5"/>
      <c r="M100" s="10" t="s">
        <v>68</v>
      </c>
      <c r="N100" s="5">
        <v>692.76</v>
      </c>
      <c r="O100" s="35" t="s">
        <v>311</v>
      </c>
      <c r="P100" s="5">
        <v>1028.98</v>
      </c>
      <c r="Q100" s="10"/>
      <c r="R100" s="5"/>
      <c r="S100" s="10"/>
      <c r="T100" s="5"/>
    </row>
    <row r="101" spans="2:20" ht="14.4">
      <c r="B101" s="11"/>
      <c r="C101" s="5"/>
      <c r="D101" s="5"/>
      <c r="E101" s="11"/>
      <c r="F101" s="5"/>
      <c r="G101" s="5"/>
      <c r="H101" s="10"/>
      <c r="I101" s="5"/>
      <c r="J101" s="10"/>
      <c r="K101" s="5"/>
      <c r="L101" s="5"/>
      <c r="M101" s="10" t="s">
        <v>99</v>
      </c>
      <c r="N101" s="5">
        <v>1324.61</v>
      </c>
      <c r="O101" s="10" t="s">
        <v>312</v>
      </c>
      <c r="P101" s="5">
        <v>3000</v>
      </c>
      <c r="Q101" s="10"/>
      <c r="R101" s="5"/>
      <c r="S101" s="10"/>
      <c r="T101" s="5"/>
    </row>
    <row r="102" spans="2:20" ht="14.4">
      <c r="B102" s="11" t="s">
        <v>19</v>
      </c>
      <c r="C102" s="5">
        <f>0-D102</f>
        <v>0</v>
      </c>
      <c r="D102" s="5"/>
      <c r="E102" s="11" t="s">
        <v>19</v>
      </c>
      <c r="F102" s="5">
        <f>3000-G102</f>
        <v>3000</v>
      </c>
      <c r="G102" s="5"/>
      <c r="H102" s="10"/>
      <c r="I102" s="5"/>
      <c r="J102" s="10"/>
      <c r="K102" s="5"/>
      <c r="L102" s="5"/>
      <c r="M102" s="10" t="s">
        <v>98</v>
      </c>
      <c r="N102" s="5">
        <v>316.7</v>
      </c>
      <c r="O102" s="10" t="s">
        <v>313</v>
      </c>
      <c r="P102" s="5">
        <v>1000</v>
      </c>
      <c r="Q102" s="10"/>
      <c r="R102" s="5"/>
      <c r="S102" s="10"/>
      <c r="T102" s="5"/>
    </row>
    <row r="103" spans="2:20" ht="14.4">
      <c r="B103" s="11" t="s">
        <v>65</v>
      </c>
      <c r="C103" s="5">
        <f>0-D103</f>
        <v>0</v>
      </c>
      <c r="D103" s="5"/>
      <c r="E103" s="11" t="s">
        <v>65</v>
      </c>
      <c r="F103" s="5">
        <f>0-G103</f>
        <v>0</v>
      </c>
      <c r="G103" s="5"/>
      <c r="H103" s="10"/>
      <c r="I103" s="5"/>
      <c r="J103" s="10"/>
      <c r="K103" s="5"/>
      <c r="L103" s="5"/>
      <c r="M103" s="10" t="s">
        <v>111</v>
      </c>
      <c r="N103" s="5">
        <v>329</v>
      </c>
      <c r="O103" s="10" t="s">
        <v>314</v>
      </c>
      <c r="P103" s="5">
        <v>2900</v>
      </c>
      <c r="Q103" s="10"/>
      <c r="R103" s="5"/>
      <c r="S103" s="10"/>
      <c r="T103" s="5"/>
    </row>
    <row r="104" spans="2:20" ht="14.4">
      <c r="B104" s="11" t="s">
        <v>66</v>
      </c>
      <c r="C104" s="5">
        <f>2000-D104</f>
        <v>0</v>
      </c>
      <c r="D104" s="5">
        <v>2000</v>
      </c>
      <c r="E104" s="11" t="s">
        <v>66</v>
      </c>
      <c r="F104" s="5">
        <f>2000-G104</f>
        <v>2000</v>
      </c>
      <c r="G104" s="5"/>
      <c r="H104" s="5"/>
      <c r="I104" s="5"/>
      <c r="J104" s="5"/>
      <c r="K104" s="5"/>
      <c r="L104" s="5"/>
      <c r="M104" s="10" t="s">
        <v>109</v>
      </c>
      <c r="N104" s="5">
        <v>11365.45</v>
      </c>
      <c r="O104" s="10" t="s">
        <v>315</v>
      </c>
      <c r="P104" s="5">
        <v>1000</v>
      </c>
      <c r="Q104" s="10"/>
      <c r="R104" s="5"/>
      <c r="S104" s="10"/>
      <c r="T104" s="5"/>
    </row>
    <row r="105" spans="2:20" ht="14.4">
      <c r="B105" s="11" t="s">
        <v>36</v>
      </c>
      <c r="C105" s="5">
        <f>500-D105</f>
        <v>500</v>
      </c>
      <c r="D105" s="5"/>
      <c r="E105" s="11" t="s">
        <v>36</v>
      </c>
      <c r="F105" s="5">
        <f>500-G105</f>
        <v>500</v>
      </c>
      <c r="G105" s="5"/>
      <c r="H105" s="5"/>
      <c r="I105" s="5"/>
      <c r="J105" s="5"/>
      <c r="K105" s="5"/>
      <c r="L105" s="5"/>
      <c r="M105" s="10" t="s">
        <v>61</v>
      </c>
      <c r="N105" s="5">
        <v>2000</v>
      </c>
      <c r="O105" s="10" t="s">
        <v>316</v>
      </c>
      <c r="P105" s="5">
        <v>300</v>
      </c>
      <c r="Q105" s="10"/>
      <c r="R105" s="5"/>
      <c r="S105" s="10"/>
      <c r="T105" s="5"/>
    </row>
    <row r="106" spans="2:20" ht="14.4">
      <c r="B106" s="11" t="s">
        <v>57</v>
      </c>
      <c r="C106" s="5">
        <f>SUM(R98:R111)-D106</f>
        <v>2700</v>
      </c>
      <c r="D106" s="5"/>
      <c r="E106" s="11" t="s">
        <v>57</v>
      </c>
      <c r="F106" s="5">
        <f>SUM(T98:T111)-G106</f>
        <v>0</v>
      </c>
      <c r="G106" s="5"/>
      <c r="H106" s="5"/>
      <c r="I106" s="5"/>
      <c r="J106" s="5"/>
      <c r="K106" s="5"/>
      <c r="L106" s="5"/>
      <c r="M106" s="10" t="s">
        <v>301</v>
      </c>
      <c r="N106" s="5">
        <v>1800</v>
      </c>
      <c r="O106" s="10"/>
      <c r="P106" s="5"/>
      <c r="Q106" s="10"/>
      <c r="R106" s="5"/>
      <c r="S106" s="10"/>
      <c r="T106" s="5"/>
    </row>
    <row r="107" spans="2:20" ht="14.4">
      <c r="B107" s="11" t="s">
        <v>21</v>
      </c>
      <c r="C107" s="5">
        <f>1400-D107</f>
        <v>-2.0999999999999091</v>
      </c>
      <c r="D107" s="5">
        <f>1400+2.1</f>
        <v>1402.1</v>
      </c>
      <c r="E107" s="11" t="s">
        <v>58</v>
      </c>
      <c r="F107" s="5">
        <f>250-G107</f>
        <v>250</v>
      </c>
      <c r="G107" s="5"/>
      <c r="H107" s="5"/>
      <c r="I107" s="5"/>
      <c r="J107" s="5"/>
      <c r="K107" s="5"/>
      <c r="L107" s="5"/>
      <c r="M107" s="10"/>
      <c r="N107" s="5"/>
      <c r="O107" s="10"/>
      <c r="P107" s="5"/>
      <c r="Q107" s="10"/>
      <c r="R107" s="5"/>
      <c r="S107" s="10"/>
      <c r="T107" s="5"/>
    </row>
    <row r="108" spans="2:20" ht="14.4">
      <c r="B108" s="11" t="s">
        <v>22</v>
      </c>
      <c r="C108" s="5">
        <f>249-D108</f>
        <v>0</v>
      </c>
      <c r="D108" s="5">
        <v>249</v>
      </c>
      <c r="E108" s="11" t="s">
        <v>61</v>
      </c>
      <c r="F108" s="5">
        <f>1000-G108</f>
        <v>1000</v>
      </c>
      <c r="G108" s="5"/>
      <c r="H108" s="5"/>
      <c r="I108" s="5"/>
      <c r="J108" s="5"/>
      <c r="K108" s="5"/>
      <c r="L108" s="5"/>
      <c r="M108" s="10"/>
      <c r="N108" s="5"/>
      <c r="O108" s="10"/>
      <c r="P108" s="5"/>
      <c r="Q108" s="10"/>
      <c r="R108" s="5"/>
      <c r="S108" s="10"/>
      <c r="T108" s="5"/>
    </row>
    <row r="109" spans="2:20" ht="14.4">
      <c r="B109" s="11" t="s">
        <v>20</v>
      </c>
      <c r="C109" s="5">
        <f>2917.17-D109</f>
        <v>0</v>
      </c>
      <c r="D109" s="5">
        <f>2917.17</f>
        <v>2917.17</v>
      </c>
      <c r="E109" s="11" t="s">
        <v>60</v>
      </c>
      <c r="F109" s="5">
        <f>2000-G109</f>
        <v>2000</v>
      </c>
      <c r="G109" s="5"/>
      <c r="H109" s="5"/>
      <c r="I109" s="5"/>
      <c r="J109" s="5"/>
      <c r="K109" s="5"/>
      <c r="L109" s="5"/>
      <c r="M109" s="10"/>
      <c r="N109" s="5"/>
      <c r="O109" s="10"/>
      <c r="P109" s="5"/>
      <c r="Q109" s="10"/>
      <c r="R109" s="5"/>
      <c r="S109" s="10"/>
      <c r="T109" s="5"/>
    </row>
    <row r="110" spans="2:20" ht="15" thickBot="1">
      <c r="B110" s="12" t="s">
        <v>23</v>
      </c>
      <c r="C110" s="13">
        <f>SUM(N98:N111)-D110</f>
        <v>3145.9099999999962</v>
      </c>
      <c r="D110" s="13">
        <f>N102+N104+N103+N105+N101+N98</f>
        <v>15705.760000000002</v>
      </c>
      <c r="E110" s="12" t="s">
        <v>23</v>
      </c>
      <c r="F110" s="13">
        <f>SUM(P98:P111)-G110</f>
        <v>22743.43</v>
      </c>
      <c r="G110" s="13"/>
      <c r="H110" s="13"/>
      <c r="I110" s="13"/>
      <c r="J110" s="13"/>
      <c r="K110" s="13"/>
      <c r="L110" s="5"/>
      <c r="M110" s="10"/>
      <c r="N110" s="5"/>
      <c r="O110" s="10"/>
      <c r="P110" s="5"/>
      <c r="Q110" s="10"/>
      <c r="R110" s="5"/>
      <c r="S110" s="10"/>
      <c r="T110" s="5"/>
    </row>
    <row r="111" spans="2:20" ht="16.5" customHeight="1" thickTop="1" thickBot="1">
      <c r="B111" s="6" t="s">
        <v>24</v>
      </c>
      <c r="C111" s="14">
        <f>SUMIF(C98:C110,"&gt;0")+SUMIF(D98:D110,"&gt;0")</f>
        <v>46602.94</v>
      </c>
      <c r="D111" s="14"/>
      <c r="E111" s="6" t="s">
        <v>25</v>
      </c>
      <c r="F111" s="14">
        <f>SUMIF(F98:F110,"&gt;0")+SUMIF(G98:G110,"&gt;0")</f>
        <v>50551.229999999996</v>
      </c>
      <c r="G111" s="94" t="s">
        <v>26</v>
      </c>
      <c r="H111" s="96" t="s">
        <v>27</v>
      </c>
      <c r="I111" s="97">
        <f>SUM(I98:I110)</f>
        <v>68563.81</v>
      </c>
      <c r="J111" s="96" t="s">
        <v>27</v>
      </c>
      <c r="K111" s="97">
        <f>SUM(K98:K110)</f>
        <v>32967.89</v>
      </c>
      <c r="L111" s="5"/>
      <c r="M111" s="10"/>
      <c r="N111" s="5"/>
      <c r="O111" s="10"/>
      <c r="P111" s="5"/>
      <c r="Q111" s="10"/>
      <c r="R111" s="5"/>
      <c r="S111" s="10"/>
      <c r="T111" s="5"/>
    </row>
    <row r="112" spans="2:20" ht="16.5" customHeight="1" thickTop="1" thickBot="1">
      <c r="B112" s="6" t="s">
        <v>28</v>
      </c>
      <c r="C112" s="14">
        <f>SUMIF(C98:C110,"&gt;0")</f>
        <v>20545.909999999996</v>
      </c>
      <c r="D112" s="14"/>
      <c r="E112" s="6" t="s">
        <v>28</v>
      </c>
      <c r="F112" s="14">
        <f>SUMIF(F98:F110,"&gt;0")</f>
        <v>33180.39</v>
      </c>
      <c r="G112" s="94"/>
      <c r="H112" s="96"/>
      <c r="I112" s="97"/>
      <c r="J112" s="96"/>
      <c r="K112" s="97"/>
      <c r="L112" s="5"/>
      <c r="M112" s="6" t="s">
        <v>29</v>
      </c>
      <c r="N112" s="14">
        <f>SUM(N98:N111)</f>
        <v>18851.669999999998</v>
      </c>
      <c r="O112" s="6" t="s">
        <v>29</v>
      </c>
      <c r="P112" s="14">
        <f>SUM(P98:P111)</f>
        <v>22743.43</v>
      </c>
      <c r="Q112" s="6" t="s">
        <v>29</v>
      </c>
      <c r="R112" s="14">
        <f>SUM(R98:R111)</f>
        <v>2700</v>
      </c>
      <c r="S112" s="6" t="s">
        <v>29</v>
      </c>
      <c r="T112" s="14">
        <f>SUM(T98:T111)</f>
        <v>0</v>
      </c>
    </row>
    <row r="113" spans="2:20" ht="22.2" thickTop="1" thickBot="1">
      <c r="B113" s="6" t="s">
        <v>30</v>
      </c>
      <c r="C113" s="14">
        <f>I111-C111</f>
        <v>21960.869999999995</v>
      </c>
      <c r="D113" s="14"/>
      <c r="E113" s="6" t="s">
        <v>31</v>
      </c>
      <c r="F113" s="14">
        <f>K111-F111</f>
        <v>-17583.339999999997</v>
      </c>
      <c r="G113" s="15">
        <f>C113+F113</f>
        <v>4377.5299999999988</v>
      </c>
      <c r="H113" s="6" t="s">
        <v>32</v>
      </c>
      <c r="I113" s="16">
        <f>SUM(I111+K111)</f>
        <v>101531.7</v>
      </c>
      <c r="J113" s="6" t="s">
        <v>33</v>
      </c>
      <c r="K113" s="14">
        <f>C111+F111</f>
        <v>97154.17</v>
      </c>
      <c r="L113" s="13"/>
      <c r="M113" s="6" t="s">
        <v>34</v>
      </c>
      <c r="N113" s="91">
        <f>N112+P112</f>
        <v>41595.1</v>
      </c>
      <c r="O113" s="91"/>
      <c r="P113" s="91"/>
      <c r="Q113" s="6" t="s">
        <v>34</v>
      </c>
      <c r="R113" s="91">
        <f>R112+T112</f>
        <v>2700</v>
      </c>
      <c r="S113" s="91"/>
      <c r="T113" s="91"/>
    </row>
    <row r="114" spans="2:20" ht="14.4" thickTop="1"/>
    <row r="116" spans="2:20" ht="14.4" thickBot="1"/>
    <row r="117" spans="2:20" ht="21" thickTop="1" thickBot="1">
      <c r="B117" s="92" t="s">
        <v>43</v>
      </c>
      <c r="C117" s="92"/>
      <c r="D117" s="92"/>
      <c r="E117" s="92"/>
      <c r="F117" s="92"/>
      <c r="G117" s="92"/>
      <c r="H117" s="92" t="s">
        <v>56</v>
      </c>
      <c r="I117" s="92"/>
      <c r="J117" s="92"/>
      <c r="K117" s="92"/>
      <c r="L117" s="4"/>
      <c r="M117" s="92" t="s">
        <v>6</v>
      </c>
      <c r="N117" s="92"/>
      <c r="O117" s="92"/>
      <c r="P117" s="92"/>
      <c r="Q117" s="92" t="s">
        <v>62</v>
      </c>
      <c r="R117" s="92"/>
      <c r="S117" s="92"/>
      <c r="T117" s="92"/>
    </row>
    <row r="118" spans="2:20" ht="18.600000000000001" thickTop="1" thickBot="1">
      <c r="B118" s="94" t="s">
        <v>8</v>
      </c>
      <c r="C118" s="94"/>
      <c r="D118" s="94"/>
      <c r="E118" s="94" t="s">
        <v>9</v>
      </c>
      <c r="F118" s="94"/>
      <c r="G118" s="94"/>
      <c r="H118" s="94" t="s">
        <v>8</v>
      </c>
      <c r="I118" s="94"/>
      <c r="J118" s="94" t="s">
        <v>9</v>
      </c>
      <c r="K118" s="94"/>
      <c r="L118" s="5"/>
      <c r="M118" s="94" t="s">
        <v>8</v>
      </c>
      <c r="N118" s="94"/>
      <c r="O118" s="94" t="s">
        <v>9</v>
      </c>
      <c r="P118" s="94"/>
      <c r="Q118" s="94" t="s">
        <v>8</v>
      </c>
      <c r="R118" s="94"/>
      <c r="S118" s="94" t="s">
        <v>9</v>
      </c>
      <c r="T118" s="94"/>
    </row>
    <row r="119" spans="2:20" ht="15.6" thickTop="1" thickBot="1">
      <c r="B119" s="93" t="s">
        <v>13</v>
      </c>
      <c r="C119" s="93"/>
      <c r="D119" s="6" t="s">
        <v>12</v>
      </c>
      <c r="E119" s="93" t="s">
        <v>13</v>
      </c>
      <c r="F119" s="93"/>
      <c r="G119" s="6" t="s">
        <v>12</v>
      </c>
      <c r="H119" s="93" t="s">
        <v>14</v>
      </c>
      <c r="I119" s="93"/>
      <c r="J119" s="93" t="s">
        <v>14</v>
      </c>
      <c r="K119" s="93"/>
      <c r="L119" s="5"/>
      <c r="M119" s="93" t="s">
        <v>13</v>
      </c>
      <c r="N119" s="93"/>
      <c r="O119" s="93" t="s">
        <v>13</v>
      </c>
      <c r="P119" s="93"/>
      <c r="Q119" s="93" t="s">
        <v>13</v>
      </c>
      <c r="R119" s="93"/>
      <c r="S119" s="93" t="s">
        <v>13</v>
      </c>
      <c r="T119" s="93"/>
    </row>
    <row r="120" spans="2:20" ht="15" thickTop="1">
      <c r="B120" s="9" t="s">
        <v>16</v>
      </c>
      <c r="C120" s="4">
        <f>3783+(I121*0.1)+(I122*0.1)-D120</f>
        <v>0</v>
      </c>
      <c r="D120" s="4">
        <v>5783</v>
      </c>
      <c r="E120" s="9" t="s">
        <v>16</v>
      </c>
      <c r="F120" s="4">
        <f>3783+(K121*0.1)+(K122*0.1)-G120</f>
        <v>-5.6700000000000728</v>
      </c>
      <c r="G120" s="4">
        <f>3783+5.67</f>
        <v>3788.67</v>
      </c>
      <c r="H120" s="10" t="s">
        <v>64</v>
      </c>
      <c r="I120" s="5">
        <v>30461.83</v>
      </c>
      <c r="J120" s="10" t="s">
        <v>64</v>
      </c>
      <c r="K120" s="5">
        <v>32967.89</v>
      </c>
      <c r="L120" s="5"/>
      <c r="M120" s="10" t="s">
        <v>85</v>
      </c>
      <c r="N120" s="5">
        <v>653.15</v>
      </c>
      <c r="O120" s="10" t="s">
        <v>67</v>
      </c>
      <c r="P120" s="5">
        <v>0</v>
      </c>
      <c r="Q120" s="10"/>
      <c r="R120" s="5"/>
      <c r="S120" s="10" t="s">
        <v>122</v>
      </c>
      <c r="T120" s="5">
        <v>5500</v>
      </c>
    </row>
    <row r="121" spans="2:20" ht="14.4">
      <c r="B121" s="11" t="s">
        <v>17</v>
      </c>
      <c r="C121" s="5">
        <f>12000-D121</f>
        <v>12000</v>
      </c>
      <c r="D121" s="5"/>
      <c r="E121" s="11" t="s">
        <v>150</v>
      </c>
      <c r="F121" s="5">
        <f>12000-G121</f>
        <v>0</v>
      </c>
      <c r="G121" s="5">
        <f>9500+2500</f>
        <v>12000</v>
      </c>
      <c r="H121" s="10" t="s">
        <v>112</v>
      </c>
      <c r="I121" s="5">
        <v>20000</v>
      </c>
      <c r="J121" s="10"/>
      <c r="K121" s="5"/>
      <c r="L121" s="5"/>
      <c r="M121" s="10" t="s">
        <v>68</v>
      </c>
      <c r="N121">
        <v>692.76</v>
      </c>
      <c r="O121" s="10"/>
      <c r="P121" s="5"/>
      <c r="Q121" s="10"/>
      <c r="R121" s="5"/>
      <c r="S121" s="10" t="s">
        <v>123</v>
      </c>
      <c r="T121" s="5">
        <v>2000</v>
      </c>
    </row>
    <row r="122" spans="2:20" ht="14.4">
      <c r="B122" s="11" t="s">
        <v>18</v>
      </c>
      <c r="C122" s="5">
        <f>3500-D122</f>
        <v>3500</v>
      </c>
      <c r="D122" s="5"/>
      <c r="E122" s="11" t="s">
        <v>18</v>
      </c>
      <c r="F122" s="5">
        <f>3500-G122</f>
        <v>3500</v>
      </c>
      <c r="G122" s="5"/>
      <c r="H122" s="10"/>
      <c r="I122" s="5"/>
      <c r="J122" s="10"/>
      <c r="K122" s="5"/>
      <c r="L122" s="5"/>
      <c r="M122" s="10" t="s">
        <v>99</v>
      </c>
      <c r="N122" s="5">
        <v>1324.61</v>
      </c>
      <c r="O122" s="10"/>
      <c r="P122" s="5"/>
      <c r="Q122" s="10"/>
      <c r="R122" s="5"/>
      <c r="S122" s="10"/>
      <c r="T122" s="5"/>
    </row>
    <row r="123" spans="2:20" ht="14.4">
      <c r="B123" s="11"/>
      <c r="C123" s="5"/>
      <c r="D123" s="5"/>
      <c r="E123" s="11"/>
      <c r="F123" s="5"/>
      <c r="G123" s="5"/>
      <c r="H123" s="10"/>
      <c r="I123" s="5"/>
      <c r="J123" s="10"/>
      <c r="K123" s="5"/>
      <c r="L123" s="5"/>
      <c r="M123" s="10" t="s">
        <v>98</v>
      </c>
      <c r="N123" s="5">
        <v>316.7</v>
      </c>
      <c r="O123" s="10"/>
      <c r="P123" s="5"/>
      <c r="Q123" s="10"/>
      <c r="R123" s="5"/>
      <c r="S123" s="10"/>
      <c r="T123" s="5"/>
    </row>
    <row r="124" spans="2:20" ht="14.4">
      <c r="B124" s="11" t="s">
        <v>19</v>
      </c>
      <c r="C124" s="5">
        <f>0-D124</f>
        <v>0</v>
      </c>
      <c r="D124" s="5"/>
      <c r="E124" s="11" t="s">
        <v>19</v>
      </c>
      <c r="F124" s="5">
        <f>0-G124</f>
        <v>0</v>
      </c>
      <c r="G124" s="5"/>
      <c r="H124" s="10"/>
      <c r="I124" s="5"/>
      <c r="J124" s="10"/>
      <c r="K124" s="5"/>
      <c r="L124" s="5"/>
      <c r="M124" s="10" t="s">
        <v>111</v>
      </c>
      <c r="N124" s="5">
        <v>329</v>
      </c>
      <c r="O124" s="10"/>
      <c r="P124" s="5"/>
      <c r="Q124" s="10"/>
      <c r="R124" s="5"/>
      <c r="S124" s="10"/>
      <c r="T124" s="5"/>
    </row>
    <row r="125" spans="2:20" ht="14.4">
      <c r="B125" s="11" t="s">
        <v>65</v>
      </c>
      <c r="C125" s="5">
        <f>500-D125</f>
        <v>500</v>
      </c>
      <c r="D125" s="5"/>
      <c r="E125" s="11" t="s">
        <v>65</v>
      </c>
      <c r="F125" s="5">
        <f>0-G125</f>
        <v>0</v>
      </c>
      <c r="G125" s="5"/>
      <c r="H125" s="10"/>
      <c r="I125" s="5"/>
      <c r="J125" s="10"/>
      <c r="K125" s="5"/>
      <c r="L125" s="5"/>
      <c r="M125" s="10" t="s">
        <v>109</v>
      </c>
      <c r="N125" s="5">
        <v>11365.45</v>
      </c>
      <c r="O125" s="10"/>
      <c r="P125" s="5"/>
      <c r="Q125" s="10"/>
      <c r="R125" s="5"/>
      <c r="S125" s="10"/>
      <c r="T125" s="5"/>
    </row>
    <row r="126" spans="2:20" ht="14.4">
      <c r="B126" s="11" t="s">
        <v>66</v>
      </c>
      <c r="C126" s="5">
        <f>2000-D126</f>
        <v>0</v>
      </c>
      <c r="D126" s="5">
        <v>2000</v>
      </c>
      <c r="E126" s="11" t="s">
        <v>66</v>
      </c>
      <c r="F126" s="5">
        <f>2000-G126</f>
        <v>2000</v>
      </c>
      <c r="G126" s="5"/>
      <c r="H126" s="5"/>
      <c r="I126" s="5"/>
      <c r="J126" s="5"/>
      <c r="K126" s="5"/>
      <c r="L126" s="5"/>
      <c r="M126" s="10" t="s">
        <v>61</v>
      </c>
      <c r="N126" s="5">
        <v>4200</v>
      </c>
      <c r="O126" s="10"/>
      <c r="P126" s="5"/>
      <c r="Q126" s="10"/>
      <c r="R126" s="5"/>
      <c r="S126" s="10"/>
      <c r="T126" s="5"/>
    </row>
    <row r="127" spans="2:20" ht="14.4">
      <c r="B127" s="11" t="s">
        <v>36</v>
      </c>
      <c r="C127" s="5">
        <f>500-D127</f>
        <v>500</v>
      </c>
      <c r="D127" s="5"/>
      <c r="E127" s="11" t="s">
        <v>36</v>
      </c>
      <c r="F127" s="5">
        <f>500-G127</f>
        <v>500</v>
      </c>
      <c r="G127" s="5"/>
      <c r="H127" s="5"/>
      <c r="I127" s="5"/>
      <c r="J127" s="5"/>
      <c r="K127" s="5"/>
      <c r="L127" s="5"/>
      <c r="M127" s="10"/>
      <c r="N127" s="5"/>
      <c r="O127" s="10"/>
      <c r="P127" s="5"/>
      <c r="Q127" s="10"/>
      <c r="R127" s="5"/>
      <c r="S127" s="10"/>
      <c r="T127" s="5"/>
    </row>
    <row r="128" spans="2:20" ht="14.4">
      <c r="B128" s="11" t="s">
        <v>57</v>
      </c>
      <c r="C128" s="5">
        <f>SUM(R120:R133)-D128</f>
        <v>0</v>
      </c>
      <c r="D128" s="5"/>
      <c r="E128" s="11" t="s">
        <v>57</v>
      </c>
      <c r="F128" s="5">
        <f>SUM(T120:T133)-G128</f>
        <v>7500</v>
      </c>
      <c r="G128" s="5"/>
      <c r="H128" s="5"/>
      <c r="I128" s="5"/>
      <c r="J128" s="5"/>
      <c r="K128" s="5"/>
      <c r="L128" s="5"/>
      <c r="M128" s="10"/>
      <c r="N128" s="5"/>
      <c r="O128" s="10"/>
      <c r="P128" s="5"/>
      <c r="Q128" s="10"/>
      <c r="R128" s="5"/>
      <c r="S128" s="10"/>
      <c r="T128" s="5"/>
    </row>
    <row r="129" spans="2:20" ht="14.4">
      <c r="B129" s="11" t="s">
        <v>21</v>
      </c>
      <c r="C129" s="5">
        <f>1400-D129</f>
        <v>0</v>
      </c>
      <c r="D129" s="5">
        <v>1400</v>
      </c>
      <c r="E129" s="11" t="s">
        <v>58</v>
      </c>
      <c r="F129" s="5">
        <f>250-G129</f>
        <v>250</v>
      </c>
      <c r="G129" s="5"/>
      <c r="H129" s="5"/>
      <c r="I129" s="5"/>
      <c r="J129" s="5"/>
      <c r="K129" s="5"/>
      <c r="L129" s="5"/>
      <c r="M129" s="10"/>
      <c r="N129" s="5"/>
      <c r="O129" s="10"/>
      <c r="P129" s="5"/>
      <c r="Q129" s="10"/>
      <c r="R129" s="5"/>
      <c r="S129" s="10"/>
      <c r="T129" s="5"/>
    </row>
    <row r="130" spans="2:20" ht="14.4">
      <c r="B130" s="11" t="s">
        <v>22</v>
      </c>
      <c r="C130" s="5">
        <f>249-D130</f>
        <v>249</v>
      </c>
      <c r="D130" s="5"/>
      <c r="E130" s="11" t="s">
        <v>61</v>
      </c>
      <c r="F130" s="5">
        <f>2000-G130</f>
        <v>2000</v>
      </c>
      <c r="G130" s="5"/>
      <c r="H130" s="5"/>
      <c r="I130" s="5"/>
      <c r="J130" s="5"/>
      <c r="K130" s="5"/>
      <c r="L130" s="5"/>
      <c r="M130" s="10"/>
      <c r="N130" s="5"/>
      <c r="O130" s="10"/>
      <c r="P130" s="5"/>
      <c r="Q130" s="10"/>
      <c r="R130" s="5"/>
      <c r="S130" s="10"/>
      <c r="T130" s="5"/>
    </row>
    <row r="131" spans="2:20" ht="14.4">
      <c r="B131" s="11" t="s">
        <v>20</v>
      </c>
      <c r="C131" s="5">
        <f>2832.67-D131</f>
        <v>2832.67</v>
      </c>
      <c r="D131" s="5"/>
      <c r="E131" s="11" t="s">
        <v>60</v>
      </c>
      <c r="F131" s="5">
        <f>2000-G131</f>
        <v>2000</v>
      </c>
      <c r="G131" s="5"/>
      <c r="H131" s="5"/>
      <c r="I131" s="5"/>
      <c r="J131" s="5"/>
      <c r="K131" s="5"/>
      <c r="L131" s="5"/>
      <c r="M131" s="10"/>
      <c r="N131" s="5"/>
      <c r="O131" s="10"/>
      <c r="P131" s="5"/>
      <c r="Q131" s="10"/>
      <c r="R131" s="5"/>
      <c r="S131" s="10"/>
      <c r="T131" s="5"/>
    </row>
    <row r="132" spans="2:20" ht="15" thickBot="1">
      <c r="B132" s="12" t="s">
        <v>23</v>
      </c>
      <c r="C132" s="13">
        <f>SUM(N120:N133)-D132</f>
        <v>4199.9999999999964</v>
      </c>
      <c r="D132" s="13">
        <f>N125+N122+N121+N120+N123+N124</f>
        <v>14681.670000000002</v>
      </c>
      <c r="E132" s="12" t="s">
        <v>23</v>
      </c>
      <c r="F132" s="13">
        <f>SUM(P120:P133)-G132</f>
        <v>0</v>
      </c>
      <c r="G132" s="13"/>
      <c r="H132" s="13"/>
      <c r="I132" s="13"/>
      <c r="J132" s="13"/>
      <c r="K132" s="13"/>
      <c r="L132" s="5"/>
      <c r="M132" s="10"/>
      <c r="N132" s="5"/>
      <c r="O132" s="10"/>
      <c r="P132" s="5"/>
      <c r="Q132" s="10"/>
      <c r="R132" s="5"/>
      <c r="S132" s="10"/>
      <c r="T132" s="5"/>
    </row>
    <row r="133" spans="2:20" ht="16.5" customHeight="1" thickTop="1" thickBot="1">
      <c r="B133" s="6" t="s">
        <v>24</v>
      </c>
      <c r="C133" s="14">
        <f>SUMIF(C120:C132,"&gt;0")+SUMIF(D120:D132,"&gt;0")</f>
        <v>47646.34</v>
      </c>
      <c r="D133" s="14"/>
      <c r="E133" s="6" t="s">
        <v>25</v>
      </c>
      <c r="F133" s="14">
        <f>SUMIF(F120:F132,"&gt;0")+SUMIF(G120:G132,"&gt;0")</f>
        <v>33538.67</v>
      </c>
      <c r="G133" s="94" t="s">
        <v>26</v>
      </c>
      <c r="H133" s="96" t="s">
        <v>27</v>
      </c>
      <c r="I133" s="97">
        <f>SUM(I120:I132)</f>
        <v>50461.83</v>
      </c>
      <c r="J133" s="96" t="s">
        <v>27</v>
      </c>
      <c r="K133" s="97">
        <f>SUM(K120:K132)</f>
        <v>32967.89</v>
      </c>
      <c r="L133" s="5"/>
      <c r="M133" s="10"/>
      <c r="N133" s="5"/>
      <c r="O133" s="10"/>
      <c r="P133" s="5"/>
      <c r="Q133" s="10"/>
      <c r="R133" s="5"/>
      <c r="S133" s="10"/>
      <c r="T133" s="5"/>
    </row>
    <row r="134" spans="2:20" ht="16.5" customHeight="1" thickTop="1" thickBot="1">
      <c r="B134" s="6" t="s">
        <v>28</v>
      </c>
      <c r="C134" s="14">
        <f>SUMIF(C120:C132,"&gt;0")</f>
        <v>23781.669999999995</v>
      </c>
      <c r="D134" s="14"/>
      <c r="E134" s="6" t="s">
        <v>28</v>
      </c>
      <c r="F134" s="14">
        <f>SUMIF(F120:F132,"&gt;0")</f>
        <v>17750</v>
      </c>
      <c r="G134" s="94"/>
      <c r="H134" s="96"/>
      <c r="I134" s="97"/>
      <c r="J134" s="96"/>
      <c r="K134" s="97"/>
      <c r="L134" s="5"/>
      <c r="M134" s="6" t="s">
        <v>29</v>
      </c>
      <c r="N134" s="14">
        <f>SUM(N120:N133)</f>
        <v>18881.669999999998</v>
      </c>
      <c r="O134" s="6" t="s">
        <v>29</v>
      </c>
      <c r="P134" s="14">
        <f>SUM(P120:P133)</f>
        <v>0</v>
      </c>
      <c r="Q134" s="6" t="s">
        <v>29</v>
      </c>
      <c r="R134" s="14">
        <f>SUM(R120:R133)</f>
        <v>0</v>
      </c>
      <c r="S134" s="6" t="s">
        <v>29</v>
      </c>
      <c r="T134" s="14">
        <f>SUM(T120:T133)</f>
        <v>7500</v>
      </c>
    </row>
    <row r="135" spans="2:20" ht="22.2" thickTop="1" thickBot="1">
      <c r="B135" s="6" t="s">
        <v>30</v>
      </c>
      <c r="C135" s="14">
        <f>I133-C133</f>
        <v>2815.4900000000052</v>
      </c>
      <c r="D135" s="14"/>
      <c r="E135" s="6" t="s">
        <v>31</v>
      </c>
      <c r="F135" s="14">
        <f>K133-F133</f>
        <v>-570.77999999999884</v>
      </c>
      <c r="G135" s="15">
        <f>C135+F135</f>
        <v>2244.7100000000064</v>
      </c>
      <c r="H135" s="6" t="s">
        <v>32</v>
      </c>
      <c r="I135" s="16">
        <f>SUM(I133+K133)</f>
        <v>83429.72</v>
      </c>
      <c r="J135" s="6" t="s">
        <v>33</v>
      </c>
      <c r="K135" s="14">
        <f>C133+F133</f>
        <v>81185.009999999995</v>
      </c>
      <c r="L135" s="13"/>
      <c r="M135" s="6" t="s">
        <v>34</v>
      </c>
      <c r="N135" s="91">
        <f>N134+P134</f>
        <v>18881.669999999998</v>
      </c>
      <c r="O135" s="91"/>
      <c r="P135" s="91"/>
      <c r="Q135" s="6" t="s">
        <v>34</v>
      </c>
      <c r="R135" s="91">
        <f>R134+T134</f>
        <v>7500</v>
      </c>
      <c r="S135" s="91"/>
      <c r="T135" s="91"/>
    </row>
    <row r="136" spans="2:20" ht="14.4" thickTop="1"/>
    <row r="137" spans="2:20">
      <c r="H137" t="s">
        <v>119</v>
      </c>
      <c r="I137">
        <v>17520</v>
      </c>
    </row>
    <row r="138" spans="2:20" ht="14.4" thickBot="1"/>
    <row r="139" spans="2:20" ht="21" thickTop="1" thickBot="1">
      <c r="B139" s="92" t="s">
        <v>44</v>
      </c>
      <c r="C139" s="92"/>
      <c r="D139" s="92"/>
      <c r="E139" s="92"/>
      <c r="F139" s="92"/>
      <c r="G139" s="92"/>
      <c r="H139" s="92" t="s">
        <v>45</v>
      </c>
      <c r="I139" s="92"/>
      <c r="J139" s="92"/>
      <c r="K139" s="92"/>
      <c r="L139" s="4"/>
      <c r="M139" s="92" t="s">
        <v>6</v>
      </c>
      <c r="N139" s="92"/>
      <c r="O139" s="92"/>
      <c r="P139" s="92"/>
      <c r="Q139" s="92" t="s">
        <v>62</v>
      </c>
      <c r="R139" s="92"/>
      <c r="S139" s="92"/>
      <c r="T139" s="92"/>
    </row>
    <row r="140" spans="2:20" ht="18.600000000000001" thickTop="1" thickBot="1">
      <c r="B140" s="94" t="s">
        <v>8</v>
      </c>
      <c r="C140" s="94"/>
      <c r="D140" s="94"/>
      <c r="E140" s="94" t="s">
        <v>9</v>
      </c>
      <c r="F140" s="94"/>
      <c r="G140" s="94"/>
      <c r="H140" s="94" t="s">
        <v>8</v>
      </c>
      <c r="I140" s="94"/>
      <c r="J140" s="94" t="s">
        <v>9</v>
      </c>
      <c r="K140" s="94"/>
      <c r="L140" s="5"/>
      <c r="M140" s="94" t="s">
        <v>8</v>
      </c>
      <c r="N140" s="94"/>
      <c r="O140" s="94" t="s">
        <v>9</v>
      </c>
      <c r="P140" s="94"/>
      <c r="Q140" s="94" t="s">
        <v>8</v>
      </c>
      <c r="R140" s="94"/>
      <c r="S140" s="94" t="s">
        <v>9</v>
      </c>
      <c r="T140" s="94"/>
    </row>
    <row r="141" spans="2:20" ht="15.6" thickTop="1" thickBot="1">
      <c r="B141" s="93" t="s">
        <v>13</v>
      </c>
      <c r="C141" s="93"/>
      <c r="D141" s="6" t="s">
        <v>12</v>
      </c>
      <c r="E141" s="93" t="s">
        <v>13</v>
      </c>
      <c r="F141" s="93"/>
      <c r="G141" s="6" t="s">
        <v>12</v>
      </c>
      <c r="H141" s="93" t="s">
        <v>14</v>
      </c>
      <c r="I141" s="93"/>
      <c r="J141" s="93" t="s">
        <v>14</v>
      </c>
      <c r="K141" s="93"/>
      <c r="L141" s="5"/>
      <c r="M141" s="93" t="s">
        <v>13</v>
      </c>
      <c r="N141" s="93"/>
      <c r="O141" s="93" t="s">
        <v>13</v>
      </c>
      <c r="P141" s="93"/>
      <c r="Q141" s="93" t="s">
        <v>13</v>
      </c>
      <c r="R141" s="93"/>
      <c r="S141" s="93" t="s">
        <v>13</v>
      </c>
      <c r="T141" s="93"/>
    </row>
    <row r="142" spans="2:20" ht="15" thickTop="1">
      <c r="B142" s="9" t="s">
        <v>16</v>
      </c>
      <c r="C142" s="4">
        <f>3783+(I143*0.1)+(I144*0.1)-D142</f>
        <v>0</v>
      </c>
      <c r="D142" s="4">
        <v>5783</v>
      </c>
      <c r="E142" s="9" t="s">
        <v>16</v>
      </c>
      <c r="F142" s="4">
        <f>3783+(K143*0.1)+(K144*0.1)-G142</f>
        <v>0</v>
      </c>
      <c r="G142" s="4">
        <v>3783</v>
      </c>
      <c r="H142" s="10" t="s">
        <v>64</v>
      </c>
      <c r="I142" s="5">
        <v>32988.75</v>
      </c>
      <c r="J142" s="10" t="s">
        <v>64</v>
      </c>
      <c r="K142" s="5">
        <v>34428</v>
      </c>
      <c r="L142" s="5"/>
      <c r="M142" s="10" t="s">
        <v>85</v>
      </c>
      <c r="N142" s="5">
        <v>653.15</v>
      </c>
      <c r="O142" s="10" t="s">
        <v>67</v>
      </c>
      <c r="P142" s="5">
        <v>1000</v>
      </c>
      <c r="Q142" s="10"/>
      <c r="R142" s="5"/>
      <c r="S142" s="10"/>
      <c r="T142" s="5"/>
    </row>
    <row r="143" spans="2:20" ht="14.4">
      <c r="B143" s="11" t="s">
        <v>17</v>
      </c>
      <c r="C143" s="5">
        <f>10000-D143</f>
        <v>10000</v>
      </c>
      <c r="D143" s="5"/>
      <c r="E143" s="11" t="s">
        <v>150</v>
      </c>
      <c r="F143" s="5">
        <f>10000-G143</f>
        <v>0</v>
      </c>
      <c r="G143" s="5">
        <v>10000</v>
      </c>
      <c r="H143" s="10" t="s">
        <v>112</v>
      </c>
      <c r="I143" s="5">
        <v>20000</v>
      </c>
      <c r="J143" s="10"/>
      <c r="K143" s="5"/>
      <c r="L143" s="5"/>
      <c r="M143" s="10" t="s">
        <v>68</v>
      </c>
      <c r="N143">
        <v>692.76</v>
      </c>
      <c r="O143" s="10" t="s">
        <v>330</v>
      </c>
      <c r="P143" s="5">
        <v>45467.09</v>
      </c>
      <c r="Q143" s="10"/>
      <c r="R143" s="5"/>
      <c r="S143" s="10"/>
      <c r="T143" s="5"/>
    </row>
    <row r="144" spans="2:20" ht="14.4">
      <c r="B144" s="11" t="s">
        <v>18</v>
      </c>
      <c r="C144" s="5">
        <f>4000-D144</f>
        <v>4000</v>
      </c>
      <c r="D144" s="5"/>
      <c r="E144" s="11" t="s">
        <v>18</v>
      </c>
      <c r="F144" s="5">
        <f>4000-G144</f>
        <v>0</v>
      </c>
      <c r="G144" s="5">
        <v>4000</v>
      </c>
      <c r="H144" s="10"/>
      <c r="I144" s="5"/>
      <c r="J144" s="10"/>
      <c r="K144" s="5"/>
      <c r="L144" s="5"/>
      <c r="M144" s="10" t="s">
        <v>99</v>
      </c>
      <c r="N144" s="5">
        <v>1324.61</v>
      </c>
      <c r="O144" s="10"/>
      <c r="P144" s="5"/>
      <c r="Q144" s="10"/>
      <c r="R144" s="5"/>
      <c r="S144" s="10"/>
      <c r="T144" s="5"/>
    </row>
    <row r="145" spans="2:20" ht="14.4">
      <c r="B145" s="11"/>
      <c r="C145" s="5"/>
      <c r="D145" s="5"/>
      <c r="E145" s="11"/>
      <c r="F145" s="5"/>
      <c r="G145" s="5"/>
      <c r="H145" s="10"/>
      <c r="I145" s="5"/>
      <c r="J145" s="10"/>
      <c r="K145" s="5"/>
      <c r="L145" s="5"/>
      <c r="M145" s="10" t="s">
        <v>98</v>
      </c>
      <c r="N145" s="5">
        <v>316.7</v>
      </c>
      <c r="O145" s="10"/>
      <c r="P145" s="5"/>
      <c r="Q145" s="10"/>
      <c r="R145" s="5"/>
      <c r="S145" s="10"/>
      <c r="T145" s="5"/>
    </row>
    <row r="146" spans="2:20" ht="14.4">
      <c r="B146" s="11" t="s">
        <v>19</v>
      </c>
      <c r="C146" s="5">
        <f>0-D146</f>
        <v>0</v>
      </c>
      <c r="D146" s="5"/>
      <c r="E146" s="11" t="s">
        <v>19</v>
      </c>
      <c r="F146" s="5">
        <f>0-G146</f>
        <v>0</v>
      </c>
      <c r="G146" s="5"/>
      <c r="H146" s="10"/>
      <c r="I146" s="5"/>
      <c r="J146" s="10"/>
      <c r="K146" s="5"/>
      <c r="L146" s="5"/>
      <c r="M146" s="10" t="s">
        <v>111</v>
      </c>
      <c r="N146" s="5">
        <v>329</v>
      </c>
      <c r="O146" s="10"/>
      <c r="P146" s="5"/>
      <c r="Q146" s="10"/>
      <c r="R146" s="5"/>
      <c r="S146" s="10"/>
      <c r="T146" s="5"/>
    </row>
    <row r="147" spans="2:20" ht="14.4">
      <c r="B147" s="11" t="s">
        <v>65</v>
      </c>
      <c r="C147" s="5">
        <f>0-D147</f>
        <v>0</v>
      </c>
      <c r="D147" s="5"/>
      <c r="E147" s="11" t="s">
        <v>65</v>
      </c>
      <c r="F147" s="5">
        <f>0-G147</f>
        <v>0</v>
      </c>
      <c r="G147" s="5"/>
      <c r="H147" s="10"/>
      <c r="I147" s="5"/>
      <c r="J147" s="10"/>
      <c r="K147" s="5"/>
      <c r="L147" s="5"/>
      <c r="M147" s="10" t="s">
        <v>109</v>
      </c>
      <c r="N147" s="5">
        <v>11365.45</v>
      </c>
      <c r="O147" s="10"/>
      <c r="P147" s="5"/>
      <c r="Q147" s="10"/>
      <c r="R147" s="5"/>
      <c r="S147" s="10"/>
      <c r="T147" s="5"/>
    </row>
    <row r="148" spans="2:20" ht="14.4">
      <c r="B148" s="11" t="s">
        <v>66</v>
      </c>
      <c r="C148" s="5">
        <f>2000-D148</f>
        <v>2000</v>
      </c>
      <c r="D148" s="5"/>
      <c r="E148" s="11" t="s">
        <v>66</v>
      </c>
      <c r="F148" s="5">
        <f>2000-G148</f>
        <v>0</v>
      </c>
      <c r="G148" s="5">
        <v>2000</v>
      </c>
      <c r="H148" s="5"/>
      <c r="I148" s="5"/>
      <c r="J148" s="5"/>
      <c r="K148" s="5"/>
      <c r="L148" s="5"/>
      <c r="M148" s="10" t="s">
        <v>332</v>
      </c>
      <c r="N148" s="5">
        <v>3000</v>
      </c>
      <c r="O148" s="10"/>
      <c r="P148" s="5"/>
      <c r="Q148" s="10"/>
      <c r="R148" s="5"/>
      <c r="S148" s="10"/>
      <c r="T148" s="5"/>
    </row>
    <row r="149" spans="2:20" ht="14.4">
      <c r="B149" s="11" t="s">
        <v>36</v>
      </c>
      <c r="C149" s="5">
        <f>500-D149</f>
        <v>500</v>
      </c>
      <c r="D149" s="5"/>
      <c r="E149" s="11" t="s">
        <v>36</v>
      </c>
      <c r="F149" s="5">
        <f>500-G149</f>
        <v>500</v>
      </c>
      <c r="G149" s="5"/>
      <c r="H149" s="5"/>
      <c r="I149" s="5"/>
      <c r="J149" s="5"/>
      <c r="K149" s="5"/>
      <c r="L149" s="5"/>
      <c r="M149" s="10"/>
      <c r="N149" s="5"/>
      <c r="O149" s="10"/>
      <c r="P149" s="5"/>
      <c r="Q149" s="10"/>
      <c r="R149" s="5"/>
      <c r="S149" s="10"/>
      <c r="T149" s="5"/>
    </row>
    <row r="150" spans="2:20" ht="14.4">
      <c r="B150" s="11" t="s">
        <v>57</v>
      </c>
      <c r="C150" s="5">
        <f>SUM(R142:R155)-D150</f>
        <v>0</v>
      </c>
      <c r="D150" s="5"/>
      <c r="E150" s="11" t="s">
        <v>57</v>
      </c>
      <c r="F150" s="5">
        <f>SUM(T142:T155)-G150</f>
        <v>0</v>
      </c>
      <c r="G150" s="5"/>
      <c r="H150" s="5"/>
      <c r="I150" s="5"/>
      <c r="J150" s="5"/>
      <c r="K150" s="5"/>
      <c r="L150" s="5"/>
      <c r="M150" s="10"/>
      <c r="N150" s="5"/>
      <c r="O150" s="10"/>
      <c r="P150" s="5"/>
      <c r="Q150" s="10"/>
      <c r="R150" s="5"/>
      <c r="S150" s="10"/>
      <c r="T150" s="5"/>
    </row>
    <row r="151" spans="2:20" ht="14.4">
      <c r="B151" s="11" t="s">
        <v>21</v>
      </c>
      <c r="C151" s="5">
        <f>1400-D151</f>
        <v>0</v>
      </c>
      <c r="D151" s="5">
        <v>1400</v>
      </c>
      <c r="E151" s="11" t="s">
        <v>58</v>
      </c>
      <c r="F151" s="5">
        <f>250-G151</f>
        <v>250</v>
      </c>
      <c r="G151" s="5"/>
      <c r="H151" s="5"/>
      <c r="I151" s="5"/>
      <c r="J151" s="5"/>
      <c r="K151" s="5"/>
      <c r="L151" s="5"/>
      <c r="M151" s="10"/>
      <c r="N151" s="5"/>
      <c r="O151" s="10"/>
      <c r="P151" s="5"/>
      <c r="Q151" s="10"/>
      <c r="R151" s="5"/>
      <c r="S151" s="10"/>
      <c r="T151" s="5"/>
    </row>
    <row r="152" spans="2:20" ht="14.4">
      <c r="B152" s="11" t="s">
        <v>22</v>
      </c>
      <c r="C152" s="5">
        <f>498-D152</f>
        <v>0</v>
      </c>
      <c r="D152" s="5">
        <v>498</v>
      </c>
      <c r="E152" s="11" t="s">
        <v>61</v>
      </c>
      <c r="F152" s="5">
        <f>2000-G152</f>
        <v>2000</v>
      </c>
      <c r="G152" s="5"/>
      <c r="H152" s="5"/>
      <c r="I152" s="5"/>
      <c r="J152" s="5"/>
      <c r="K152" s="5"/>
      <c r="L152" s="5"/>
      <c r="M152" s="10"/>
      <c r="N152" s="5"/>
      <c r="O152" s="10"/>
      <c r="P152" s="5"/>
      <c r="Q152" s="10"/>
      <c r="R152" s="5"/>
      <c r="S152" s="10"/>
      <c r="T152" s="5"/>
    </row>
    <row r="153" spans="2:20" ht="14.4">
      <c r="B153" s="11" t="s">
        <v>20</v>
      </c>
      <c r="C153" s="5">
        <f>6200-D153</f>
        <v>0</v>
      </c>
      <c r="D153" s="5">
        <v>6200</v>
      </c>
      <c r="E153" s="11" t="s">
        <v>60</v>
      </c>
      <c r="F153" s="5">
        <f>3000-G153</f>
        <v>3000</v>
      </c>
      <c r="G153" s="5"/>
      <c r="H153" s="5"/>
      <c r="I153" s="5"/>
      <c r="J153" s="5"/>
      <c r="K153" s="5"/>
      <c r="L153" s="5"/>
      <c r="M153" s="10"/>
      <c r="N153" s="5"/>
      <c r="O153" s="10"/>
      <c r="P153" s="5"/>
      <c r="Q153" s="10"/>
      <c r="R153" s="5"/>
      <c r="S153" s="10"/>
      <c r="T153" s="5"/>
    </row>
    <row r="154" spans="2:20" ht="15" thickBot="1">
      <c r="B154" s="12" t="s">
        <v>23</v>
      </c>
      <c r="C154" s="13">
        <f>SUM(N142:N155)-D154</f>
        <v>2999.9999999999982</v>
      </c>
      <c r="D154" s="13">
        <f>SUM(N142:N147)</f>
        <v>14681.67</v>
      </c>
      <c r="E154" s="12" t="s">
        <v>23</v>
      </c>
      <c r="F154" s="13">
        <f>SUM(P142:P155)-G154</f>
        <v>46467.09</v>
      </c>
      <c r="G154" s="13"/>
      <c r="H154" s="13"/>
      <c r="I154" s="13"/>
      <c r="J154" s="13"/>
      <c r="K154" s="13"/>
      <c r="L154" s="5"/>
      <c r="M154" s="10"/>
      <c r="N154" s="5"/>
      <c r="O154" s="10"/>
      <c r="P154" s="5"/>
      <c r="Q154" s="10"/>
      <c r="R154" s="5"/>
      <c r="S154" s="10"/>
      <c r="T154" s="5"/>
    </row>
    <row r="155" spans="2:20" ht="16.5" customHeight="1" thickTop="1" thickBot="1">
      <c r="B155" s="6" t="s">
        <v>24</v>
      </c>
      <c r="C155" s="14">
        <f>SUMIF(C142:C154,"&gt;0")+SUMIF(D142:D154,"&gt;0")</f>
        <v>48062.67</v>
      </c>
      <c r="D155" s="14"/>
      <c r="E155" s="6" t="s">
        <v>25</v>
      </c>
      <c r="F155" s="14">
        <f>SUMIF(F142:F154,"&gt;0")+SUMIF(G142:G154,"&gt;0")</f>
        <v>72000.09</v>
      </c>
      <c r="G155" s="94" t="s">
        <v>26</v>
      </c>
      <c r="H155" s="96" t="s">
        <v>27</v>
      </c>
      <c r="I155" s="97">
        <f>SUM(I142:I154)</f>
        <v>52988.75</v>
      </c>
      <c r="J155" s="96" t="s">
        <v>27</v>
      </c>
      <c r="K155" s="97">
        <f>SUM(K142:K154)</f>
        <v>34428</v>
      </c>
      <c r="L155" s="5"/>
      <c r="M155" s="10"/>
      <c r="N155" s="5"/>
      <c r="O155" s="10"/>
      <c r="P155" s="5"/>
      <c r="Q155" s="10"/>
      <c r="R155" s="5"/>
      <c r="S155" s="10"/>
      <c r="T155" s="5"/>
    </row>
    <row r="156" spans="2:20" ht="16.5" customHeight="1" thickTop="1" thickBot="1">
      <c r="B156" s="6" t="s">
        <v>28</v>
      </c>
      <c r="C156" s="14">
        <f>SUMIF(C142:C154,"&gt;0")</f>
        <v>19500</v>
      </c>
      <c r="D156" s="14"/>
      <c r="E156" s="6" t="s">
        <v>28</v>
      </c>
      <c r="F156" s="14">
        <f>SUMIF(F142:F154,"&gt;0")</f>
        <v>52217.09</v>
      </c>
      <c r="G156" s="94"/>
      <c r="H156" s="96"/>
      <c r="I156" s="97"/>
      <c r="J156" s="96"/>
      <c r="K156" s="97"/>
      <c r="L156" s="5"/>
      <c r="M156" s="6" t="s">
        <v>29</v>
      </c>
      <c r="N156" s="14">
        <f>SUM(N142:N155)</f>
        <v>17681.669999999998</v>
      </c>
      <c r="O156" s="6" t="s">
        <v>29</v>
      </c>
      <c r="P156" s="14">
        <f>SUM(P142:P155)</f>
        <v>46467.09</v>
      </c>
      <c r="Q156" s="6" t="s">
        <v>29</v>
      </c>
      <c r="R156" s="14">
        <f>SUM(R142:R155)</f>
        <v>0</v>
      </c>
      <c r="S156" s="6" t="s">
        <v>29</v>
      </c>
      <c r="T156" s="14">
        <f>SUM(T142:T155)</f>
        <v>0</v>
      </c>
    </row>
    <row r="157" spans="2:20" ht="22.2" thickTop="1" thickBot="1">
      <c r="B157" s="6" t="s">
        <v>30</v>
      </c>
      <c r="C157" s="14">
        <f>I155-C155</f>
        <v>4926.0800000000017</v>
      </c>
      <c r="D157" s="14"/>
      <c r="E157" s="6" t="s">
        <v>31</v>
      </c>
      <c r="F157" s="14">
        <f>K155-F155</f>
        <v>-37572.089999999997</v>
      </c>
      <c r="G157" s="15">
        <f>C157+F157</f>
        <v>-32646.009999999995</v>
      </c>
      <c r="H157" s="6" t="s">
        <v>32</v>
      </c>
      <c r="I157" s="16">
        <f>SUM(I155+K155)</f>
        <v>87416.75</v>
      </c>
      <c r="J157" s="6" t="s">
        <v>33</v>
      </c>
      <c r="K157" s="14">
        <f>C155+F155</f>
        <v>120062.76</v>
      </c>
      <c r="L157" s="13"/>
      <c r="M157" s="6" t="s">
        <v>34</v>
      </c>
      <c r="N157" s="91">
        <f>N156+P156</f>
        <v>64148.759999999995</v>
      </c>
      <c r="O157" s="91"/>
      <c r="P157" s="91"/>
      <c r="Q157" s="6" t="s">
        <v>34</v>
      </c>
      <c r="R157" s="91">
        <f>R156+T156</f>
        <v>0</v>
      </c>
      <c r="S157" s="91"/>
      <c r="T157" s="91"/>
    </row>
    <row r="158" spans="2:20" ht="14.4" thickTop="1"/>
    <row r="159" spans="2:20" ht="14.4">
      <c r="B159" s="26"/>
    </row>
    <row r="160" spans="2:20" ht="14.4" thickBot="1"/>
    <row r="161" spans="2:20" ht="21" thickTop="1" thickBot="1">
      <c r="B161" s="92" t="s">
        <v>46</v>
      </c>
      <c r="C161" s="92"/>
      <c r="D161" s="92"/>
      <c r="E161" s="92"/>
      <c r="F161" s="92"/>
      <c r="G161" s="92"/>
      <c r="H161" s="92" t="s">
        <v>47</v>
      </c>
      <c r="I161" s="92"/>
      <c r="J161" s="92"/>
      <c r="K161" s="92"/>
      <c r="L161" s="4"/>
      <c r="M161" s="92" t="s">
        <v>6</v>
      </c>
      <c r="N161" s="92"/>
      <c r="O161" s="92"/>
      <c r="P161" s="92"/>
      <c r="Q161" s="92" t="s">
        <v>62</v>
      </c>
      <c r="R161" s="92"/>
      <c r="S161" s="92"/>
      <c r="T161" s="92"/>
    </row>
    <row r="162" spans="2:20" ht="18.600000000000001" thickTop="1" thickBot="1">
      <c r="B162" s="94" t="s">
        <v>8</v>
      </c>
      <c r="C162" s="94"/>
      <c r="D162" s="94"/>
      <c r="E162" s="94" t="s">
        <v>9</v>
      </c>
      <c r="F162" s="94"/>
      <c r="G162" s="94"/>
      <c r="H162" s="94" t="s">
        <v>8</v>
      </c>
      <c r="I162" s="94"/>
      <c r="J162" s="94" t="s">
        <v>9</v>
      </c>
      <c r="K162" s="94"/>
      <c r="L162" s="5"/>
      <c r="M162" s="94" t="s">
        <v>8</v>
      </c>
      <c r="N162" s="94"/>
      <c r="O162" s="94" t="s">
        <v>9</v>
      </c>
      <c r="P162" s="94"/>
      <c r="Q162" s="94" t="s">
        <v>8</v>
      </c>
      <c r="R162" s="94"/>
      <c r="S162" s="94" t="s">
        <v>9</v>
      </c>
      <c r="T162" s="94"/>
    </row>
    <row r="163" spans="2:20" ht="15.6" thickTop="1" thickBot="1">
      <c r="B163" s="93" t="s">
        <v>13</v>
      </c>
      <c r="C163" s="93"/>
      <c r="D163" s="6" t="s">
        <v>12</v>
      </c>
      <c r="E163" s="93" t="s">
        <v>13</v>
      </c>
      <c r="F163" s="93"/>
      <c r="G163" s="6" t="s">
        <v>12</v>
      </c>
      <c r="H163" s="93" t="s">
        <v>14</v>
      </c>
      <c r="I163" s="93"/>
      <c r="J163" s="93" t="s">
        <v>14</v>
      </c>
      <c r="K163" s="93"/>
      <c r="L163" s="5"/>
      <c r="M163" s="93" t="s">
        <v>13</v>
      </c>
      <c r="N163" s="93"/>
      <c r="O163" s="93" t="s">
        <v>13</v>
      </c>
      <c r="P163" s="93"/>
      <c r="Q163" s="93" t="s">
        <v>13</v>
      </c>
      <c r="R163" s="93"/>
      <c r="S163" s="93" t="s">
        <v>13</v>
      </c>
      <c r="T163" s="93"/>
    </row>
    <row r="164" spans="2:20" ht="15" thickTop="1">
      <c r="B164" s="9" t="s">
        <v>16</v>
      </c>
      <c r="C164" s="4">
        <f>3783+(I165*0.1)+(I166*0.1)-D164</f>
        <v>5783</v>
      </c>
      <c r="D164" s="4"/>
      <c r="E164" s="9" t="s">
        <v>16</v>
      </c>
      <c r="F164" s="4">
        <f>3783+(K165*0.1)+(K166*0.1)-G164</f>
        <v>3783</v>
      </c>
      <c r="G164" s="4"/>
      <c r="H164" s="10" t="s">
        <v>64</v>
      </c>
      <c r="I164" s="5">
        <v>32988.75</v>
      </c>
      <c r="J164" s="10" t="s">
        <v>64</v>
      </c>
      <c r="K164" s="5">
        <v>34428</v>
      </c>
      <c r="L164" s="5"/>
      <c r="M164" s="10" t="s">
        <v>85</v>
      </c>
      <c r="N164" s="5">
        <v>653.15</v>
      </c>
      <c r="O164" s="10" t="s">
        <v>67</v>
      </c>
      <c r="P164" s="5">
        <v>1000</v>
      </c>
      <c r="Q164" s="10" t="s">
        <v>107</v>
      </c>
      <c r="R164" s="5">
        <v>0</v>
      </c>
      <c r="S164" s="10" t="s">
        <v>97</v>
      </c>
      <c r="T164" s="5">
        <v>3500</v>
      </c>
    </row>
    <row r="165" spans="2:20" ht="14.4">
      <c r="B165" s="11" t="s">
        <v>17</v>
      </c>
      <c r="C165" s="5">
        <f>12000-D165</f>
        <v>12000</v>
      </c>
      <c r="D165" s="5"/>
      <c r="E165" s="11" t="s">
        <v>150</v>
      </c>
      <c r="F165" s="5">
        <f>12000-G165</f>
        <v>12000</v>
      </c>
      <c r="G165" s="5"/>
      <c r="H165" s="10" t="s">
        <v>112</v>
      </c>
      <c r="I165" s="5">
        <v>20000</v>
      </c>
      <c r="J165" s="10"/>
      <c r="K165" s="5"/>
      <c r="L165" s="5"/>
      <c r="M165" s="10" t="s">
        <v>68</v>
      </c>
      <c r="N165">
        <v>692.76</v>
      </c>
      <c r="O165" s="10"/>
      <c r="P165" s="5"/>
      <c r="Q165" s="10"/>
      <c r="R165" s="5"/>
      <c r="S165" s="10"/>
      <c r="T165" s="5"/>
    </row>
    <row r="166" spans="2:20" ht="14.4">
      <c r="B166" s="11" t="s">
        <v>18</v>
      </c>
      <c r="C166" s="5">
        <f>4500-D166</f>
        <v>4500</v>
      </c>
      <c r="D166" s="5"/>
      <c r="E166" s="11" t="s">
        <v>18</v>
      </c>
      <c r="F166" s="5">
        <f>4500-G166</f>
        <v>4500</v>
      </c>
      <c r="G166" s="5"/>
      <c r="H166" s="10"/>
      <c r="I166" s="5"/>
      <c r="J166" s="10"/>
      <c r="K166" s="5"/>
      <c r="L166" s="5"/>
      <c r="M166" s="10" t="s">
        <v>99</v>
      </c>
      <c r="N166" s="5">
        <v>1324.61</v>
      </c>
      <c r="O166" s="10"/>
      <c r="P166" s="5"/>
      <c r="Q166" s="10"/>
      <c r="R166" s="5"/>
      <c r="S166" s="10"/>
      <c r="T166" s="5"/>
    </row>
    <row r="167" spans="2:20" ht="14.4">
      <c r="B167" s="11"/>
      <c r="C167" s="5"/>
      <c r="D167" s="5"/>
      <c r="E167" s="11"/>
      <c r="F167" s="5"/>
      <c r="G167" s="5"/>
      <c r="H167" s="10"/>
      <c r="I167" s="5"/>
      <c r="J167" s="10"/>
      <c r="K167" s="5"/>
      <c r="L167" s="5"/>
      <c r="M167" s="10" t="s">
        <v>98</v>
      </c>
      <c r="N167" s="5">
        <v>316.7</v>
      </c>
      <c r="O167" s="10"/>
      <c r="P167" s="5"/>
      <c r="Q167" s="10"/>
      <c r="R167" s="5"/>
      <c r="S167" s="10"/>
      <c r="T167" s="5"/>
    </row>
    <row r="168" spans="2:20" ht="14.4">
      <c r="B168" s="11" t="s">
        <v>19</v>
      </c>
      <c r="C168" s="5">
        <f>0-D168</f>
        <v>0</v>
      </c>
      <c r="D168" s="5"/>
      <c r="E168" s="11" t="s">
        <v>19</v>
      </c>
      <c r="F168" s="5">
        <f>0-G168</f>
        <v>0</v>
      </c>
      <c r="G168" s="5"/>
      <c r="H168" s="10"/>
      <c r="I168" s="5"/>
      <c r="J168" s="10"/>
      <c r="K168" s="5"/>
      <c r="L168" s="5"/>
      <c r="M168" s="10" t="s">
        <v>111</v>
      </c>
      <c r="N168" s="5">
        <v>329</v>
      </c>
      <c r="O168" s="10"/>
      <c r="P168" s="5"/>
      <c r="Q168" s="10"/>
      <c r="R168" s="5"/>
      <c r="S168" s="10"/>
      <c r="T168" s="5"/>
    </row>
    <row r="169" spans="2:20" ht="14.4">
      <c r="B169" s="11" t="s">
        <v>65</v>
      </c>
      <c r="C169" s="5">
        <f>0-D169</f>
        <v>0</v>
      </c>
      <c r="D169" s="5"/>
      <c r="E169" s="11" t="s">
        <v>65</v>
      </c>
      <c r="F169" s="5">
        <f>0-G169</f>
        <v>0</v>
      </c>
      <c r="G169" s="5"/>
      <c r="H169" s="10"/>
      <c r="I169" s="5"/>
      <c r="J169" s="10"/>
      <c r="K169" s="5"/>
      <c r="L169" s="5"/>
      <c r="M169" s="10" t="s">
        <v>109</v>
      </c>
      <c r="N169" s="5">
        <v>11365.45</v>
      </c>
      <c r="O169" s="10"/>
      <c r="P169" s="5"/>
      <c r="Q169" s="10"/>
      <c r="R169" s="5"/>
      <c r="S169" s="10"/>
      <c r="T169" s="5"/>
    </row>
    <row r="170" spans="2:20" ht="14.4">
      <c r="B170" s="11" t="s">
        <v>66</v>
      </c>
      <c r="C170" s="5">
        <f>2000-D170</f>
        <v>2000</v>
      </c>
      <c r="D170" s="5"/>
      <c r="E170" s="11" t="s">
        <v>66</v>
      </c>
      <c r="F170" s="5">
        <f>2000-G170</f>
        <v>2000</v>
      </c>
      <c r="G170" s="5"/>
      <c r="H170" s="5"/>
      <c r="I170" s="5"/>
      <c r="J170" s="5"/>
      <c r="K170" s="5"/>
      <c r="L170" s="5"/>
      <c r="M170" s="10" t="s">
        <v>332</v>
      </c>
      <c r="N170" s="5">
        <v>3000</v>
      </c>
      <c r="O170" s="10"/>
      <c r="P170" s="5"/>
      <c r="Q170" s="10"/>
      <c r="R170" s="5"/>
      <c r="S170" s="10"/>
      <c r="T170" s="5"/>
    </row>
    <row r="171" spans="2:20" ht="14.4">
      <c r="B171" s="11" t="s">
        <v>36</v>
      </c>
      <c r="C171" s="5">
        <f>500-D171</f>
        <v>500</v>
      </c>
      <c r="D171" s="5"/>
      <c r="E171" s="11" t="s">
        <v>36</v>
      </c>
      <c r="F171" s="5">
        <f>500-G171</f>
        <v>500</v>
      </c>
      <c r="G171" s="5"/>
      <c r="H171" s="5"/>
      <c r="I171" s="5"/>
      <c r="J171" s="5"/>
      <c r="K171" s="5"/>
      <c r="L171" s="5"/>
      <c r="M171" s="10"/>
      <c r="N171" s="5"/>
      <c r="O171" s="10"/>
      <c r="P171" s="5"/>
      <c r="Q171" s="10"/>
      <c r="R171" s="5"/>
      <c r="S171" s="10"/>
      <c r="T171" s="5"/>
    </row>
    <row r="172" spans="2:20" ht="14.4">
      <c r="B172" s="11" t="s">
        <v>57</v>
      </c>
      <c r="C172" s="5">
        <f>SUM(R164:R177)-D172</f>
        <v>0</v>
      </c>
      <c r="D172" s="5"/>
      <c r="E172" s="11" t="s">
        <v>57</v>
      </c>
      <c r="F172" s="5">
        <f>SUM(T164:T177)-G172</f>
        <v>3500</v>
      </c>
      <c r="G172" s="5"/>
      <c r="H172" s="5"/>
      <c r="I172" s="5"/>
      <c r="J172" s="5"/>
      <c r="K172" s="5"/>
      <c r="L172" s="5"/>
      <c r="M172" s="10"/>
      <c r="N172" s="5"/>
      <c r="O172" s="10"/>
      <c r="P172" s="5"/>
      <c r="Q172" s="10"/>
      <c r="R172" s="5"/>
      <c r="S172" s="10"/>
      <c r="T172" s="5"/>
    </row>
    <row r="173" spans="2:20" ht="14.4">
      <c r="B173" s="11" t="s">
        <v>21</v>
      </c>
      <c r="C173" s="5">
        <f>1400-D173</f>
        <v>1400</v>
      </c>
      <c r="D173" s="5"/>
      <c r="E173" s="11" t="s">
        <v>58</v>
      </c>
      <c r="F173" s="5">
        <f>250-G173</f>
        <v>250</v>
      </c>
      <c r="G173" s="5"/>
      <c r="H173" s="5"/>
      <c r="I173" s="5"/>
      <c r="J173" s="5"/>
      <c r="K173" s="5"/>
      <c r="L173" s="5"/>
      <c r="M173" s="10"/>
      <c r="N173" s="5"/>
      <c r="O173" s="10"/>
      <c r="P173" s="5"/>
      <c r="Q173" s="10"/>
      <c r="R173" s="5"/>
      <c r="S173" s="10"/>
      <c r="T173" s="5"/>
    </row>
    <row r="174" spans="2:20" ht="14.4">
      <c r="B174" s="11" t="s">
        <v>22</v>
      </c>
      <c r="C174" s="5">
        <f>249-D174</f>
        <v>249</v>
      </c>
      <c r="D174" s="5"/>
      <c r="E174" s="11" t="s">
        <v>61</v>
      </c>
      <c r="F174" s="5">
        <f>1000-G174</f>
        <v>1000</v>
      </c>
      <c r="G174" s="5"/>
      <c r="H174" s="5"/>
      <c r="I174" s="5"/>
      <c r="J174" s="5"/>
      <c r="K174" s="5"/>
      <c r="L174" s="5"/>
      <c r="M174" s="10"/>
      <c r="N174" s="5"/>
      <c r="O174" s="10"/>
      <c r="P174" s="5"/>
      <c r="Q174" s="10"/>
      <c r="R174" s="5"/>
      <c r="S174" s="10"/>
      <c r="T174" s="5"/>
    </row>
    <row r="175" spans="2:20" ht="14.4">
      <c r="B175" s="11" t="s">
        <v>20</v>
      </c>
      <c r="C175" s="5">
        <f>6200-D175</f>
        <v>6200</v>
      </c>
      <c r="D175" s="5"/>
      <c r="E175" s="11" t="s">
        <v>60</v>
      </c>
      <c r="F175" s="5">
        <f>3000-G175</f>
        <v>3000</v>
      </c>
      <c r="G175" s="5"/>
      <c r="H175" s="5"/>
      <c r="I175" s="5"/>
      <c r="J175" s="5"/>
      <c r="K175" s="5"/>
      <c r="L175" s="5"/>
      <c r="M175" s="10"/>
      <c r="N175" s="5"/>
      <c r="O175" s="10"/>
      <c r="P175" s="5"/>
      <c r="Q175" s="10"/>
      <c r="R175" s="5"/>
      <c r="S175" s="10"/>
      <c r="T175" s="5"/>
    </row>
    <row r="176" spans="2:20" ht="15" thickBot="1">
      <c r="B176" s="12" t="s">
        <v>23</v>
      </c>
      <c r="C176" s="13">
        <f>SUM(N164:N177)-D176</f>
        <v>17681.669999999998</v>
      </c>
      <c r="D176" s="13"/>
      <c r="E176" s="12" t="s">
        <v>23</v>
      </c>
      <c r="F176" s="13">
        <f>SUM(P164:P177)-G176</f>
        <v>1000</v>
      </c>
      <c r="G176" s="13"/>
      <c r="H176" s="13"/>
      <c r="I176" s="13"/>
      <c r="J176" s="13"/>
      <c r="K176" s="13"/>
      <c r="L176" s="5"/>
      <c r="M176" s="10"/>
      <c r="N176" s="5"/>
      <c r="O176" s="10"/>
      <c r="P176" s="5"/>
      <c r="Q176" s="10"/>
      <c r="R176" s="5"/>
      <c r="S176" s="10"/>
      <c r="T176" s="5"/>
    </row>
    <row r="177" spans="2:20" ht="16.5" customHeight="1" thickTop="1" thickBot="1">
      <c r="B177" s="6" t="s">
        <v>24</v>
      </c>
      <c r="C177" s="14">
        <f>SUMIF(C164:C176,"&gt;0")+SUMIF(D164:D176,"&gt;0")</f>
        <v>50313.67</v>
      </c>
      <c r="D177" s="14"/>
      <c r="E177" s="6" t="s">
        <v>25</v>
      </c>
      <c r="F177" s="14">
        <f>SUMIF(F164:F176,"&gt;0")+SUMIF(G164:G176,"&gt;0")</f>
        <v>31533</v>
      </c>
      <c r="G177" s="94" t="s">
        <v>26</v>
      </c>
      <c r="H177" s="96" t="s">
        <v>27</v>
      </c>
      <c r="I177" s="97">
        <f>SUM(I164:I176)</f>
        <v>52988.75</v>
      </c>
      <c r="J177" s="96" t="s">
        <v>27</v>
      </c>
      <c r="K177" s="97">
        <f>SUM(K164:K176)</f>
        <v>34428</v>
      </c>
      <c r="L177" s="5"/>
      <c r="M177" s="10"/>
      <c r="N177" s="5"/>
      <c r="O177" s="10"/>
      <c r="P177" s="5"/>
      <c r="Q177" s="10"/>
      <c r="R177" s="5"/>
      <c r="S177" s="10"/>
      <c r="T177" s="5"/>
    </row>
    <row r="178" spans="2:20" ht="16.5" customHeight="1" thickTop="1" thickBot="1">
      <c r="B178" s="6" t="s">
        <v>28</v>
      </c>
      <c r="C178" s="14">
        <f>SUMIF(C164:C176,"&gt;0")</f>
        <v>50313.67</v>
      </c>
      <c r="D178" s="14"/>
      <c r="E178" s="6" t="s">
        <v>28</v>
      </c>
      <c r="F178" s="14">
        <f>SUMIF(F164:F176,"&gt;0")</f>
        <v>31533</v>
      </c>
      <c r="G178" s="94"/>
      <c r="H178" s="96"/>
      <c r="I178" s="97"/>
      <c r="J178" s="96"/>
      <c r="K178" s="97"/>
      <c r="L178" s="5"/>
      <c r="M178" s="6" t="s">
        <v>29</v>
      </c>
      <c r="N178" s="14">
        <f>SUM(N164:N177)</f>
        <v>17681.669999999998</v>
      </c>
      <c r="O178" s="6" t="s">
        <v>29</v>
      </c>
      <c r="P178" s="14">
        <f>SUM(P164:P177)</f>
        <v>1000</v>
      </c>
      <c r="Q178" s="6" t="s">
        <v>29</v>
      </c>
      <c r="R178" s="14">
        <f>SUM(R164:R177)</f>
        <v>0</v>
      </c>
      <c r="S178" s="6" t="s">
        <v>29</v>
      </c>
      <c r="T178" s="14">
        <f>SUM(T164:T177)</f>
        <v>3500</v>
      </c>
    </row>
    <row r="179" spans="2:20" ht="22.2" thickTop="1" thickBot="1">
      <c r="B179" s="6" t="s">
        <v>30</v>
      </c>
      <c r="C179" s="14">
        <f>I177-C177</f>
        <v>2675.0800000000017</v>
      </c>
      <c r="D179" s="14"/>
      <c r="E179" s="6" t="s">
        <v>31</v>
      </c>
      <c r="F179" s="14">
        <f>K177-F177</f>
        <v>2895</v>
      </c>
      <c r="G179" s="15">
        <f>C179+F179</f>
        <v>5570.0800000000017</v>
      </c>
      <c r="H179" s="6" t="s">
        <v>32</v>
      </c>
      <c r="I179" s="16">
        <f>SUM(I177+K177)</f>
        <v>87416.75</v>
      </c>
      <c r="J179" s="6" t="s">
        <v>33</v>
      </c>
      <c r="K179" s="14">
        <f>C177+F177</f>
        <v>81846.67</v>
      </c>
      <c r="L179" s="13"/>
      <c r="M179" s="6" t="s">
        <v>34</v>
      </c>
      <c r="N179" s="91">
        <f>N178+P178</f>
        <v>18681.669999999998</v>
      </c>
      <c r="O179" s="91"/>
      <c r="P179" s="91"/>
      <c r="Q179" s="6" t="s">
        <v>34</v>
      </c>
      <c r="R179" s="91">
        <f>R178+T178</f>
        <v>3500</v>
      </c>
      <c r="S179" s="91"/>
      <c r="T179" s="91"/>
    </row>
    <row r="180" spans="2:20" ht="14.4" thickTop="1"/>
    <row r="182" spans="2:20" ht="14.4" thickBot="1"/>
    <row r="183" spans="2:20" ht="21" thickTop="1" thickBot="1">
      <c r="B183" s="92" t="s">
        <v>48</v>
      </c>
      <c r="C183" s="92"/>
      <c r="D183" s="92"/>
      <c r="E183" s="92"/>
      <c r="F183" s="92"/>
      <c r="G183" s="92"/>
      <c r="H183" s="92" t="s">
        <v>49</v>
      </c>
      <c r="I183" s="92"/>
      <c r="J183" s="92"/>
      <c r="K183" s="92"/>
      <c r="L183" s="4"/>
      <c r="M183" s="92" t="s">
        <v>6</v>
      </c>
      <c r="N183" s="92"/>
      <c r="O183" s="92"/>
      <c r="P183" s="92"/>
      <c r="Q183" s="92" t="s">
        <v>62</v>
      </c>
      <c r="R183" s="92"/>
      <c r="S183" s="92"/>
      <c r="T183" s="92"/>
    </row>
    <row r="184" spans="2:20" ht="18.600000000000001" thickTop="1" thickBot="1">
      <c r="B184" s="94" t="s">
        <v>8</v>
      </c>
      <c r="C184" s="94"/>
      <c r="D184" s="94"/>
      <c r="E184" s="94" t="s">
        <v>9</v>
      </c>
      <c r="F184" s="94"/>
      <c r="G184" s="94"/>
      <c r="H184" s="94" t="s">
        <v>8</v>
      </c>
      <c r="I184" s="94"/>
      <c r="J184" s="94" t="s">
        <v>9</v>
      </c>
      <c r="K184" s="94"/>
      <c r="L184" s="5"/>
      <c r="M184" s="94" t="s">
        <v>8</v>
      </c>
      <c r="N184" s="94"/>
      <c r="O184" s="94" t="s">
        <v>9</v>
      </c>
      <c r="P184" s="94"/>
      <c r="Q184" s="94" t="s">
        <v>8</v>
      </c>
      <c r="R184" s="94"/>
      <c r="S184" s="94" t="s">
        <v>9</v>
      </c>
      <c r="T184" s="94"/>
    </row>
    <row r="185" spans="2:20" ht="15.6" thickTop="1" thickBot="1">
      <c r="B185" s="93" t="s">
        <v>13</v>
      </c>
      <c r="C185" s="93"/>
      <c r="D185" s="6" t="s">
        <v>12</v>
      </c>
      <c r="E185" s="93" t="s">
        <v>13</v>
      </c>
      <c r="F185" s="93"/>
      <c r="G185" s="6" t="s">
        <v>12</v>
      </c>
      <c r="H185" s="93" t="s">
        <v>14</v>
      </c>
      <c r="I185" s="93"/>
      <c r="J185" s="93" t="s">
        <v>14</v>
      </c>
      <c r="K185" s="93"/>
      <c r="L185" s="5"/>
      <c r="M185" s="93" t="s">
        <v>13</v>
      </c>
      <c r="N185" s="93"/>
      <c r="O185" s="93" t="s">
        <v>13</v>
      </c>
      <c r="P185" s="93"/>
      <c r="Q185" s="93" t="s">
        <v>13</v>
      </c>
      <c r="R185" s="93"/>
      <c r="S185" s="93" t="s">
        <v>13</v>
      </c>
      <c r="T185" s="93"/>
    </row>
    <row r="186" spans="2:20" ht="15" thickTop="1">
      <c r="B186" s="9" t="s">
        <v>16</v>
      </c>
      <c r="C186" s="4">
        <f>3783+(I187*0.1)+(I188*0.1)-D186</f>
        <v>5783</v>
      </c>
      <c r="D186" s="4"/>
      <c r="E186" s="9" t="s">
        <v>16</v>
      </c>
      <c r="F186" s="4">
        <f>3783+(K187*0.1)+(K188*0.1)-G186</f>
        <v>3783</v>
      </c>
      <c r="G186" s="4"/>
      <c r="H186" s="10" t="s">
        <v>64</v>
      </c>
      <c r="I186" s="5">
        <v>30461.83</v>
      </c>
      <c r="J186" s="10" t="s">
        <v>64</v>
      </c>
      <c r="K186" s="5">
        <v>32967.89</v>
      </c>
      <c r="L186" s="5"/>
      <c r="M186" s="10" t="s">
        <v>85</v>
      </c>
      <c r="N186" s="5">
        <v>653.15</v>
      </c>
      <c r="O186" s="10" t="s">
        <v>67</v>
      </c>
      <c r="P186" s="5">
        <v>1000</v>
      </c>
      <c r="Q186" s="10" t="s">
        <v>107</v>
      </c>
      <c r="R186" s="5">
        <v>1500</v>
      </c>
      <c r="S186" s="10" t="s">
        <v>97</v>
      </c>
      <c r="T186" s="5">
        <v>2000</v>
      </c>
    </row>
    <row r="187" spans="2:20" ht="14.4">
      <c r="B187" s="11" t="s">
        <v>17</v>
      </c>
      <c r="C187" s="5">
        <f>12000-D187</f>
        <v>12000</v>
      </c>
      <c r="D187" s="5"/>
      <c r="E187" s="11" t="s">
        <v>150</v>
      </c>
      <c r="F187" s="5">
        <f>12000-G187</f>
        <v>12000</v>
      </c>
      <c r="G187" s="5"/>
      <c r="H187" s="10" t="s">
        <v>112</v>
      </c>
      <c r="I187" s="5">
        <v>20000</v>
      </c>
      <c r="J187" s="10"/>
      <c r="K187" s="5"/>
      <c r="L187" s="5"/>
      <c r="M187" s="10" t="s">
        <v>68</v>
      </c>
      <c r="N187">
        <v>692.76</v>
      </c>
      <c r="O187" s="10"/>
      <c r="P187" s="5"/>
      <c r="Q187" s="10"/>
      <c r="R187" s="5"/>
      <c r="S187" s="10"/>
      <c r="T187" s="5"/>
    </row>
    <row r="188" spans="2:20" ht="14.4">
      <c r="B188" s="11" t="s">
        <v>18</v>
      </c>
      <c r="C188" s="5">
        <f>3500-D188</f>
        <v>3500</v>
      </c>
      <c r="D188" s="5"/>
      <c r="E188" s="11" t="s">
        <v>18</v>
      </c>
      <c r="F188" s="5">
        <f>3500-G188</f>
        <v>3500</v>
      </c>
      <c r="G188" s="5"/>
      <c r="H188" s="10"/>
      <c r="I188" s="5"/>
      <c r="J188" s="10"/>
      <c r="K188" s="5"/>
      <c r="L188" s="5"/>
      <c r="M188" s="10" t="s">
        <v>99</v>
      </c>
      <c r="N188" s="5">
        <v>1324.61</v>
      </c>
      <c r="O188" s="10"/>
      <c r="P188" s="5"/>
      <c r="Q188" s="10"/>
      <c r="R188" s="5"/>
      <c r="S188" s="10"/>
      <c r="T188" s="5"/>
    </row>
    <row r="189" spans="2:20" ht="14.4">
      <c r="B189" s="11"/>
      <c r="C189" s="5"/>
      <c r="D189" s="5"/>
      <c r="E189" s="11"/>
      <c r="F189" s="5"/>
      <c r="G189" s="5"/>
      <c r="H189" s="10"/>
      <c r="I189" s="5"/>
      <c r="J189" s="10"/>
      <c r="K189" s="5"/>
      <c r="L189" s="5"/>
      <c r="M189" s="10" t="s">
        <v>98</v>
      </c>
      <c r="N189" s="5">
        <v>316.7</v>
      </c>
      <c r="O189" s="10"/>
      <c r="P189" s="5"/>
      <c r="Q189" s="10"/>
      <c r="R189" s="5"/>
      <c r="S189" s="10"/>
      <c r="T189" s="5"/>
    </row>
    <row r="190" spans="2:20" ht="14.4">
      <c r="B190" s="11" t="s">
        <v>19</v>
      </c>
      <c r="C190" s="5">
        <f>0-D190</f>
        <v>0</v>
      </c>
      <c r="D190" s="5"/>
      <c r="E190" s="11" t="s">
        <v>19</v>
      </c>
      <c r="F190" s="5">
        <f>3000-G190</f>
        <v>3000</v>
      </c>
      <c r="G190" s="5"/>
      <c r="H190" s="10"/>
      <c r="I190" s="5"/>
      <c r="J190" s="10"/>
      <c r="K190" s="5"/>
      <c r="L190" s="5"/>
      <c r="M190" s="10" t="s">
        <v>111</v>
      </c>
      <c r="N190" s="5">
        <v>329</v>
      </c>
      <c r="O190" s="10"/>
      <c r="P190" s="5"/>
      <c r="Q190" s="10"/>
      <c r="R190" s="5"/>
      <c r="S190" s="10"/>
      <c r="T190" s="5"/>
    </row>
    <row r="191" spans="2:20" ht="14.4">
      <c r="B191" s="11" t="s">
        <v>65</v>
      </c>
      <c r="C191" s="5">
        <f>500-D191</f>
        <v>500</v>
      </c>
      <c r="D191" s="5"/>
      <c r="E191" s="11" t="s">
        <v>65</v>
      </c>
      <c r="F191" s="5">
        <f>500-G191</f>
        <v>500</v>
      </c>
      <c r="G191" s="5"/>
      <c r="H191" s="10"/>
      <c r="I191" s="5"/>
      <c r="J191" s="10"/>
      <c r="K191" s="5"/>
      <c r="L191" s="5"/>
      <c r="M191" s="10" t="s">
        <v>109</v>
      </c>
      <c r="N191" s="5">
        <v>11365.45</v>
      </c>
      <c r="O191" s="10"/>
      <c r="P191" s="5"/>
      <c r="Q191" s="10"/>
      <c r="R191" s="5"/>
      <c r="S191" s="10"/>
      <c r="T191" s="5"/>
    </row>
    <row r="192" spans="2:20" ht="14.4">
      <c r="B192" s="11" t="s">
        <v>66</v>
      </c>
      <c r="C192" s="5">
        <f>2000-D192</f>
        <v>2000</v>
      </c>
      <c r="D192" s="5"/>
      <c r="E192" s="11" t="s">
        <v>66</v>
      </c>
      <c r="F192" s="5">
        <f>2000-G192</f>
        <v>2000</v>
      </c>
      <c r="G192" s="5"/>
      <c r="H192" s="5"/>
      <c r="I192" s="5"/>
      <c r="J192" s="5"/>
      <c r="K192" s="5"/>
      <c r="L192" s="5"/>
      <c r="M192" s="10" t="s">
        <v>332</v>
      </c>
      <c r="N192" s="5">
        <v>3000</v>
      </c>
      <c r="O192" s="10"/>
      <c r="P192" s="5"/>
      <c r="Q192" s="10"/>
      <c r="R192" s="5"/>
      <c r="S192" s="10"/>
      <c r="T192" s="5"/>
    </row>
    <row r="193" spans="2:20" ht="14.4">
      <c r="B193" s="11" t="s">
        <v>36</v>
      </c>
      <c r="C193" s="5">
        <f>500-D193</f>
        <v>500</v>
      </c>
      <c r="D193" s="5"/>
      <c r="E193" s="11" t="s">
        <v>36</v>
      </c>
      <c r="F193" s="5">
        <f>500-G193</f>
        <v>500</v>
      </c>
      <c r="G193" s="5"/>
      <c r="H193" s="5"/>
      <c r="I193" s="5"/>
      <c r="J193" s="5"/>
      <c r="K193" s="5"/>
      <c r="L193" s="5"/>
      <c r="M193" s="10"/>
      <c r="N193" s="5"/>
      <c r="O193" s="10"/>
      <c r="P193" s="5"/>
      <c r="Q193" s="10"/>
      <c r="R193" s="5"/>
      <c r="S193" s="10"/>
      <c r="T193" s="5"/>
    </row>
    <row r="194" spans="2:20" ht="14.4">
      <c r="B194" s="11" t="s">
        <v>57</v>
      </c>
      <c r="C194" s="5">
        <f>SUM(R186:R199)-D194</f>
        <v>1500</v>
      </c>
      <c r="D194" s="5"/>
      <c r="E194" s="11" t="s">
        <v>57</v>
      </c>
      <c r="F194" s="5">
        <f>SUM(T186:T199)-G194</f>
        <v>2000</v>
      </c>
      <c r="G194" s="5"/>
      <c r="H194" s="5"/>
      <c r="I194" s="5"/>
      <c r="J194" s="5"/>
      <c r="K194" s="5"/>
      <c r="L194" s="5"/>
      <c r="M194" s="10"/>
      <c r="N194" s="5"/>
      <c r="O194" s="10"/>
      <c r="P194" s="5"/>
      <c r="Q194" s="10"/>
      <c r="R194" s="5"/>
      <c r="S194" s="10"/>
      <c r="T194" s="5"/>
    </row>
    <row r="195" spans="2:20" ht="14.4">
      <c r="B195" s="11" t="s">
        <v>21</v>
      </c>
      <c r="C195" s="5">
        <f>1400-D195</f>
        <v>1400</v>
      </c>
      <c r="D195" s="5"/>
      <c r="E195" s="11" t="s">
        <v>58</v>
      </c>
      <c r="F195" s="5">
        <f>250-G195</f>
        <v>250</v>
      </c>
      <c r="G195" s="5"/>
      <c r="H195" s="5"/>
      <c r="I195" s="5"/>
      <c r="J195" s="5"/>
      <c r="K195" s="5"/>
      <c r="L195" s="5"/>
      <c r="M195" s="10"/>
      <c r="N195" s="5"/>
      <c r="O195" s="10"/>
      <c r="P195" s="5"/>
      <c r="Q195" s="10"/>
      <c r="R195" s="5"/>
      <c r="S195" s="10"/>
      <c r="T195" s="5"/>
    </row>
    <row r="196" spans="2:20" ht="14.4">
      <c r="B196" s="11" t="s">
        <v>22</v>
      </c>
      <c r="C196" s="5">
        <f>249-D196</f>
        <v>249</v>
      </c>
      <c r="D196" s="5"/>
      <c r="E196" s="11" t="s">
        <v>61</v>
      </c>
      <c r="F196" s="5">
        <f>1000-G196</f>
        <v>1000</v>
      </c>
      <c r="G196" s="5"/>
      <c r="H196" s="5"/>
      <c r="I196" s="5"/>
      <c r="J196" s="5"/>
      <c r="K196" s="5"/>
      <c r="L196" s="5"/>
      <c r="M196" s="10"/>
      <c r="N196" s="5"/>
      <c r="O196" s="10"/>
      <c r="P196" s="5"/>
      <c r="Q196" s="10"/>
      <c r="R196" s="5"/>
      <c r="S196" s="10"/>
      <c r="T196" s="5"/>
    </row>
    <row r="197" spans="2:20" ht="14.4">
      <c r="B197" s="11" t="s">
        <v>20</v>
      </c>
      <c r="C197" s="5">
        <f>2832.67-D197</f>
        <v>2832.67</v>
      </c>
      <c r="D197" s="5"/>
      <c r="E197" s="11" t="s">
        <v>60</v>
      </c>
      <c r="F197" s="5">
        <f>3000-G197</f>
        <v>3000</v>
      </c>
      <c r="G197" s="5"/>
      <c r="H197" s="5"/>
      <c r="I197" s="5"/>
      <c r="J197" s="5"/>
      <c r="K197" s="5"/>
      <c r="L197" s="5"/>
      <c r="M197" s="10"/>
      <c r="N197" s="5"/>
      <c r="O197" s="10"/>
      <c r="P197" s="5"/>
      <c r="Q197" s="10"/>
      <c r="R197" s="5"/>
      <c r="S197" s="10"/>
      <c r="T197" s="5"/>
    </row>
    <row r="198" spans="2:20" ht="15" thickBot="1">
      <c r="B198" s="12" t="s">
        <v>23</v>
      </c>
      <c r="C198" s="13">
        <f>SUM(N186:N199)-D198</f>
        <v>17681.669999999998</v>
      </c>
      <c r="D198" s="13"/>
      <c r="E198" s="12" t="s">
        <v>23</v>
      </c>
      <c r="F198" s="13">
        <f>SUM(P186:P199)-G198</f>
        <v>1000</v>
      </c>
      <c r="G198" s="13"/>
      <c r="H198" s="13"/>
      <c r="I198" s="13"/>
      <c r="J198" s="13"/>
      <c r="K198" s="13"/>
      <c r="L198" s="5"/>
      <c r="M198" s="10"/>
      <c r="N198" s="5"/>
      <c r="O198" s="10"/>
      <c r="P198" s="5"/>
      <c r="Q198" s="10"/>
      <c r="R198" s="5"/>
      <c r="S198" s="10"/>
      <c r="T198" s="5"/>
    </row>
    <row r="199" spans="2:20" ht="16.5" customHeight="1" thickTop="1" thickBot="1">
      <c r="B199" s="6" t="s">
        <v>24</v>
      </c>
      <c r="C199" s="14">
        <f>SUMIF(C186:C198,"&gt;0")+SUMIF(D186:D198,"&gt;0")</f>
        <v>47946.34</v>
      </c>
      <c r="D199" s="14"/>
      <c r="E199" s="6" t="s">
        <v>25</v>
      </c>
      <c r="F199" s="14">
        <f>SUMIF(F186:F198,"&gt;0")+SUMIF(G186:G198,"&gt;0")</f>
        <v>32533</v>
      </c>
      <c r="G199" s="94" t="s">
        <v>26</v>
      </c>
      <c r="H199" s="96" t="s">
        <v>27</v>
      </c>
      <c r="I199" s="97">
        <f>SUM(I186:I198)</f>
        <v>50461.83</v>
      </c>
      <c r="J199" s="96" t="s">
        <v>27</v>
      </c>
      <c r="K199" s="97">
        <f>SUM(K186:K198)</f>
        <v>32967.89</v>
      </c>
      <c r="L199" s="5"/>
      <c r="M199" s="10"/>
      <c r="N199" s="5"/>
      <c r="O199" s="10"/>
      <c r="P199" s="5"/>
      <c r="Q199" s="10"/>
      <c r="R199" s="5"/>
      <c r="S199" s="10"/>
      <c r="T199" s="5"/>
    </row>
    <row r="200" spans="2:20" ht="16.5" customHeight="1" thickTop="1" thickBot="1">
      <c r="B200" s="6" t="s">
        <v>28</v>
      </c>
      <c r="C200" s="14">
        <f>SUMIF(C186:C198,"&gt;0")</f>
        <v>47946.34</v>
      </c>
      <c r="D200" s="14"/>
      <c r="E200" s="6" t="s">
        <v>28</v>
      </c>
      <c r="F200" s="14">
        <f>SUMIF(F186:F198,"&gt;0")</f>
        <v>32533</v>
      </c>
      <c r="G200" s="94"/>
      <c r="H200" s="96"/>
      <c r="I200" s="97"/>
      <c r="J200" s="96"/>
      <c r="K200" s="97"/>
      <c r="L200" s="5"/>
      <c r="M200" s="6" t="s">
        <v>29</v>
      </c>
      <c r="N200" s="14">
        <f>SUM(N186:N199)</f>
        <v>17681.669999999998</v>
      </c>
      <c r="O200" s="6" t="s">
        <v>29</v>
      </c>
      <c r="P200" s="14">
        <f>SUM(P186:P199)</f>
        <v>1000</v>
      </c>
      <c r="Q200" s="6" t="s">
        <v>29</v>
      </c>
      <c r="R200" s="14">
        <f>SUM(R186:R199)</f>
        <v>1500</v>
      </c>
      <c r="S200" s="6" t="s">
        <v>29</v>
      </c>
      <c r="T200" s="14">
        <f>SUM(T186:T199)</f>
        <v>2000</v>
      </c>
    </row>
    <row r="201" spans="2:20" ht="22.2" thickTop="1" thickBot="1">
      <c r="B201" s="6" t="s">
        <v>30</v>
      </c>
      <c r="C201" s="14">
        <f>I199-C199</f>
        <v>2515.4900000000052</v>
      </c>
      <c r="D201" s="14"/>
      <c r="E201" s="6" t="s">
        <v>31</v>
      </c>
      <c r="F201" s="14">
        <f>K199-F199</f>
        <v>434.88999999999942</v>
      </c>
      <c r="G201" s="15">
        <f>C201+F201</f>
        <v>2950.3800000000047</v>
      </c>
      <c r="H201" s="6" t="s">
        <v>32</v>
      </c>
      <c r="I201" s="16">
        <f>SUM(I199+K199)</f>
        <v>83429.72</v>
      </c>
      <c r="J201" s="6" t="s">
        <v>33</v>
      </c>
      <c r="K201" s="14">
        <f>C199+F199</f>
        <v>80479.34</v>
      </c>
      <c r="L201" s="13"/>
      <c r="M201" s="6" t="s">
        <v>34</v>
      </c>
      <c r="N201" s="91">
        <f>N200+P200</f>
        <v>18681.669999999998</v>
      </c>
      <c r="O201" s="91"/>
      <c r="P201" s="91"/>
      <c r="Q201" s="6" t="s">
        <v>34</v>
      </c>
      <c r="R201" s="91">
        <f>R200+T200</f>
        <v>3500</v>
      </c>
      <c r="S201" s="91"/>
      <c r="T201" s="91"/>
    </row>
    <row r="202" spans="2:20" ht="14.4" thickTop="1">
      <c r="E202">
        <f>31600-8200</f>
        <v>23400</v>
      </c>
    </row>
    <row r="204" spans="2:20" ht="14.4" thickBot="1"/>
    <row r="205" spans="2:20" ht="21" thickTop="1" thickBot="1">
      <c r="B205" s="92" t="s">
        <v>50</v>
      </c>
      <c r="C205" s="92"/>
      <c r="D205" s="92"/>
      <c r="E205" s="92"/>
      <c r="F205" s="92"/>
      <c r="G205" s="92"/>
      <c r="H205" s="92" t="s">
        <v>51</v>
      </c>
      <c r="I205" s="92"/>
      <c r="J205" s="92"/>
      <c r="K205" s="92"/>
      <c r="L205" s="4"/>
      <c r="M205" s="92" t="s">
        <v>6</v>
      </c>
      <c r="N205" s="92"/>
      <c r="O205" s="92"/>
      <c r="P205" s="92"/>
      <c r="Q205" s="92" t="s">
        <v>62</v>
      </c>
      <c r="R205" s="92"/>
      <c r="S205" s="92"/>
      <c r="T205" s="92"/>
    </row>
    <row r="206" spans="2:20" ht="18.600000000000001" thickTop="1" thickBot="1">
      <c r="B206" s="94" t="s">
        <v>8</v>
      </c>
      <c r="C206" s="94"/>
      <c r="D206" s="94"/>
      <c r="E206" s="94" t="s">
        <v>9</v>
      </c>
      <c r="F206" s="94"/>
      <c r="G206" s="94"/>
      <c r="H206" s="94" t="s">
        <v>8</v>
      </c>
      <c r="I206" s="94"/>
      <c r="J206" s="94" t="s">
        <v>9</v>
      </c>
      <c r="K206" s="94"/>
      <c r="L206" s="5"/>
      <c r="M206" s="94" t="s">
        <v>8</v>
      </c>
      <c r="N206" s="94"/>
      <c r="O206" s="94" t="s">
        <v>9</v>
      </c>
      <c r="P206" s="94"/>
      <c r="Q206" s="94" t="s">
        <v>8</v>
      </c>
      <c r="R206" s="94"/>
      <c r="S206" s="94" t="s">
        <v>9</v>
      </c>
      <c r="T206" s="94"/>
    </row>
    <row r="207" spans="2:20" ht="15.6" thickTop="1" thickBot="1">
      <c r="B207" s="93" t="s">
        <v>13</v>
      </c>
      <c r="C207" s="93"/>
      <c r="D207" s="6" t="s">
        <v>12</v>
      </c>
      <c r="E207" s="93" t="s">
        <v>13</v>
      </c>
      <c r="F207" s="93"/>
      <c r="G207" s="6" t="s">
        <v>12</v>
      </c>
      <c r="H207" s="93" t="s">
        <v>14</v>
      </c>
      <c r="I207" s="93"/>
      <c r="J207" s="93" t="s">
        <v>14</v>
      </c>
      <c r="K207" s="93"/>
      <c r="L207" s="5"/>
      <c r="M207" s="93" t="s">
        <v>13</v>
      </c>
      <c r="N207" s="93"/>
      <c r="O207" s="93" t="s">
        <v>13</v>
      </c>
      <c r="P207" s="93"/>
      <c r="Q207" s="93" t="s">
        <v>13</v>
      </c>
      <c r="R207" s="93"/>
      <c r="S207" s="93" t="s">
        <v>13</v>
      </c>
      <c r="T207" s="93"/>
    </row>
    <row r="208" spans="2:20" ht="15" thickTop="1">
      <c r="B208" s="9" t="s">
        <v>16</v>
      </c>
      <c r="C208" s="4">
        <f>3783+(I209*0.1)+(I210*0.1)-D208</f>
        <v>5783</v>
      </c>
      <c r="D208" s="4"/>
      <c r="E208" s="9" t="s">
        <v>16</v>
      </c>
      <c r="F208" s="4">
        <f>3783+(K209*0.1)+(K210*0.1)-G208</f>
        <v>3783</v>
      </c>
      <c r="G208" s="4"/>
      <c r="H208" s="10" t="s">
        <v>64</v>
      </c>
      <c r="I208" s="5">
        <v>30461.83</v>
      </c>
      <c r="J208" s="10" t="s">
        <v>64</v>
      </c>
      <c r="K208" s="5">
        <v>32967.89</v>
      </c>
      <c r="L208" s="5"/>
      <c r="M208" s="10" t="s">
        <v>85</v>
      </c>
      <c r="N208" s="5">
        <v>653.15</v>
      </c>
      <c r="O208" s="10" t="s">
        <v>67</v>
      </c>
      <c r="P208" s="5">
        <v>1000</v>
      </c>
      <c r="Q208" s="10" t="s">
        <v>107</v>
      </c>
      <c r="R208" s="5">
        <v>1500</v>
      </c>
      <c r="S208" s="10" t="s">
        <v>97</v>
      </c>
      <c r="T208" s="5">
        <v>3500</v>
      </c>
    </row>
    <row r="209" spans="1:20" ht="14.4">
      <c r="B209" s="11" t="s">
        <v>17</v>
      </c>
      <c r="C209" s="5">
        <f>12000-D209</f>
        <v>12000</v>
      </c>
      <c r="D209" s="5"/>
      <c r="E209" s="11" t="s">
        <v>150</v>
      </c>
      <c r="F209" s="5">
        <f>12000-G209</f>
        <v>12000</v>
      </c>
      <c r="G209" s="5"/>
      <c r="H209" s="10" t="s">
        <v>112</v>
      </c>
      <c r="I209" s="5">
        <v>20000</v>
      </c>
      <c r="J209" s="10"/>
      <c r="K209" s="5"/>
      <c r="L209" s="5"/>
      <c r="M209" s="10" t="s">
        <v>68</v>
      </c>
      <c r="N209">
        <v>692.76</v>
      </c>
      <c r="O209" s="10"/>
      <c r="P209" s="5"/>
      <c r="Q209" s="10"/>
      <c r="R209" s="5"/>
      <c r="S209" s="10"/>
      <c r="T209" s="5"/>
    </row>
    <row r="210" spans="1:20" ht="14.4">
      <c r="B210" s="11" t="s">
        <v>18</v>
      </c>
      <c r="C210" s="5">
        <f>3500-D210</f>
        <v>3500</v>
      </c>
      <c r="D210" s="5"/>
      <c r="E210" s="11" t="s">
        <v>18</v>
      </c>
      <c r="F210" s="5">
        <f>3500-G210</f>
        <v>3500</v>
      </c>
      <c r="G210" s="5"/>
      <c r="H210" s="10"/>
      <c r="I210" s="5"/>
      <c r="J210" s="10"/>
      <c r="K210" s="5"/>
      <c r="L210" s="5"/>
      <c r="M210" s="10" t="s">
        <v>99</v>
      </c>
      <c r="N210" s="5">
        <v>1324.61</v>
      </c>
      <c r="O210" s="10"/>
      <c r="P210" s="5"/>
      <c r="Q210" s="10"/>
      <c r="R210" s="5"/>
      <c r="S210" s="10"/>
      <c r="T210" s="5"/>
    </row>
    <row r="211" spans="1:20" ht="14.4">
      <c r="B211" s="11"/>
      <c r="C211" s="5"/>
      <c r="D211" s="5"/>
      <c r="E211" s="11"/>
      <c r="F211" s="5"/>
      <c r="G211" s="5"/>
      <c r="H211" s="10"/>
      <c r="I211" s="5"/>
      <c r="J211" s="10"/>
      <c r="K211" s="5"/>
      <c r="L211" s="5"/>
      <c r="M211" s="10" t="s">
        <v>98</v>
      </c>
      <c r="N211" s="5">
        <v>316.7</v>
      </c>
      <c r="O211" s="10"/>
      <c r="P211" s="5"/>
      <c r="Q211" s="10"/>
      <c r="R211" s="5"/>
      <c r="S211" s="10"/>
      <c r="T211" s="5"/>
    </row>
    <row r="212" spans="1:20" ht="14.4">
      <c r="B212" s="11" t="s">
        <v>19</v>
      </c>
      <c r="C212" s="5">
        <f>0-D212</f>
        <v>0</v>
      </c>
      <c r="D212" s="5"/>
      <c r="E212" s="11" t="s">
        <v>19</v>
      </c>
      <c r="F212" s="5">
        <f>3000-G212</f>
        <v>3000</v>
      </c>
      <c r="G212" s="5"/>
      <c r="H212" s="10"/>
      <c r="I212" s="5"/>
      <c r="J212" s="10"/>
      <c r="K212" s="5"/>
      <c r="L212" s="5"/>
      <c r="M212" s="10" t="s">
        <v>111</v>
      </c>
      <c r="N212" s="5">
        <v>329</v>
      </c>
      <c r="O212" s="10"/>
      <c r="P212" s="5"/>
      <c r="Q212" s="10"/>
      <c r="R212" s="5"/>
      <c r="S212" s="10"/>
      <c r="T212" s="5"/>
    </row>
    <row r="213" spans="1:20" ht="14.4">
      <c r="A213" s="3"/>
      <c r="B213" s="11" t="s">
        <v>65</v>
      </c>
      <c r="C213" s="5">
        <f>500-D213</f>
        <v>500</v>
      </c>
      <c r="D213" s="5"/>
      <c r="E213" s="11" t="s">
        <v>65</v>
      </c>
      <c r="F213" s="5">
        <f>500-G213</f>
        <v>500</v>
      </c>
      <c r="G213" s="5"/>
      <c r="H213" s="10"/>
      <c r="I213" s="5"/>
      <c r="J213" s="10"/>
      <c r="K213" s="5"/>
      <c r="L213" s="5"/>
      <c r="M213" s="10" t="s">
        <v>109</v>
      </c>
      <c r="N213" s="5">
        <v>11365.45</v>
      </c>
      <c r="O213" s="10"/>
      <c r="P213" s="5"/>
      <c r="Q213" s="10"/>
      <c r="R213" s="5"/>
      <c r="S213" s="10"/>
      <c r="T213" s="5"/>
    </row>
    <row r="214" spans="1:20" ht="14.4">
      <c r="B214" s="11" t="s">
        <v>66</v>
      </c>
      <c r="C214" s="5">
        <f>2000-D214</f>
        <v>2000</v>
      </c>
      <c r="D214" s="5"/>
      <c r="E214" s="11" t="s">
        <v>66</v>
      </c>
      <c r="F214" s="5">
        <f>2000-G214</f>
        <v>2000</v>
      </c>
      <c r="G214" s="5"/>
      <c r="H214" s="5"/>
      <c r="I214" s="5"/>
      <c r="J214" s="5"/>
      <c r="K214" s="5"/>
      <c r="L214" s="5"/>
      <c r="M214" s="10" t="s">
        <v>332</v>
      </c>
      <c r="N214" s="5">
        <v>3000</v>
      </c>
      <c r="O214" s="10"/>
      <c r="P214" s="5"/>
      <c r="Q214" s="10"/>
      <c r="R214" s="5"/>
      <c r="S214" s="10"/>
      <c r="T214" s="5"/>
    </row>
    <row r="215" spans="1:20" ht="14.4">
      <c r="A215" s="3"/>
      <c r="B215" s="11" t="s">
        <v>36</v>
      </c>
      <c r="C215" s="5">
        <f>500-D215</f>
        <v>500</v>
      </c>
      <c r="D215" s="5"/>
      <c r="E215" s="11" t="s">
        <v>36</v>
      </c>
      <c r="F215" s="5">
        <f>500-G215</f>
        <v>500</v>
      </c>
      <c r="G215" s="5"/>
      <c r="H215" s="5"/>
      <c r="I215" s="5"/>
      <c r="J215" s="5"/>
      <c r="K215" s="5"/>
      <c r="L215" s="5"/>
      <c r="M215" s="10"/>
      <c r="N215" s="5"/>
      <c r="O215" s="10"/>
      <c r="P215" s="5"/>
      <c r="Q215" s="10"/>
      <c r="R215" s="5"/>
      <c r="S215" s="10"/>
      <c r="T215" s="5"/>
    </row>
    <row r="216" spans="1:20" ht="14.4">
      <c r="B216" s="11" t="s">
        <v>57</v>
      </c>
      <c r="C216" s="5">
        <f>SUM(R208:R221)-D216</f>
        <v>1500</v>
      </c>
      <c r="D216" s="5"/>
      <c r="E216" s="11" t="s">
        <v>57</v>
      </c>
      <c r="F216" s="5">
        <f>SUM(T208:T221)-G216</f>
        <v>3500</v>
      </c>
      <c r="G216" s="5"/>
      <c r="H216" s="5"/>
      <c r="I216" s="5"/>
      <c r="J216" s="5"/>
      <c r="K216" s="5"/>
      <c r="L216" s="5"/>
      <c r="M216" s="10"/>
      <c r="N216" s="5"/>
      <c r="O216" s="10"/>
      <c r="P216" s="5"/>
      <c r="Q216" s="10"/>
      <c r="R216" s="5"/>
      <c r="S216" s="10"/>
      <c r="T216" s="5"/>
    </row>
    <row r="217" spans="1:20" ht="14.4">
      <c r="B217" s="11" t="s">
        <v>21</v>
      </c>
      <c r="C217" s="5">
        <f>1400-D217</f>
        <v>1400</v>
      </c>
      <c r="D217" s="5"/>
      <c r="E217" s="11" t="s">
        <v>58</v>
      </c>
      <c r="F217" s="5">
        <f>250-G217</f>
        <v>250</v>
      </c>
      <c r="G217" s="5"/>
      <c r="H217" s="5"/>
      <c r="I217" s="5"/>
      <c r="J217" s="5"/>
      <c r="K217" s="5"/>
      <c r="L217" s="5"/>
      <c r="M217" s="10"/>
      <c r="N217" s="5"/>
      <c r="O217" s="10"/>
      <c r="P217" s="5"/>
      <c r="Q217" s="10"/>
      <c r="R217" s="5"/>
      <c r="S217" s="10"/>
      <c r="T217" s="5"/>
    </row>
    <row r="218" spans="1:20" ht="14.4">
      <c r="B218" s="11" t="s">
        <v>22</v>
      </c>
      <c r="C218" s="5">
        <f>249-D218</f>
        <v>249</v>
      </c>
      <c r="D218" s="5"/>
      <c r="E218" s="11" t="s">
        <v>61</v>
      </c>
      <c r="F218" s="5">
        <f>1000-G218</f>
        <v>1000</v>
      </c>
      <c r="G218" s="5"/>
      <c r="H218" s="5"/>
      <c r="I218" s="5"/>
      <c r="J218" s="5"/>
      <c r="K218" s="5"/>
      <c r="L218" s="5"/>
      <c r="M218" s="10"/>
      <c r="N218" s="5"/>
      <c r="O218" s="10"/>
      <c r="P218" s="5"/>
      <c r="Q218" s="10"/>
      <c r="R218" s="5"/>
      <c r="S218" s="10"/>
      <c r="T218" s="5"/>
    </row>
    <row r="219" spans="1:20" ht="14.4">
      <c r="B219" s="11" t="s">
        <v>20</v>
      </c>
      <c r="C219" s="5">
        <f>2832.67-D219</f>
        <v>2832.67</v>
      </c>
      <c r="D219" s="5"/>
      <c r="E219" s="11" t="s">
        <v>60</v>
      </c>
      <c r="F219" s="5">
        <f>3000-G219</f>
        <v>3000</v>
      </c>
      <c r="G219" s="5"/>
      <c r="H219" s="5"/>
      <c r="I219" s="5"/>
      <c r="J219" s="5"/>
      <c r="K219" s="5"/>
      <c r="L219" s="5"/>
      <c r="M219" s="10"/>
      <c r="N219" s="5"/>
      <c r="O219" s="10"/>
      <c r="P219" s="5"/>
      <c r="Q219" s="10"/>
      <c r="R219" s="5"/>
      <c r="S219" s="10"/>
      <c r="T219" s="5"/>
    </row>
    <row r="220" spans="1:20" ht="15" thickBot="1">
      <c r="B220" s="12" t="s">
        <v>23</v>
      </c>
      <c r="C220" s="13">
        <f>SUM(N208:N221)-D220</f>
        <v>17681.669999999998</v>
      </c>
      <c r="D220" s="13"/>
      <c r="E220" s="12" t="s">
        <v>23</v>
      </c>
      <c r="F220" s="13">
        <f>SUM(P208:P221)-G220</f>
        <v>1000</v>
      </c>
      <c r="G220" s="13"/>
      <c r="H220" s="13"/>
      <c r="I220" s="13"/>
      <c r="J220" s="13"/>
      <c r="K220" s="13"/>
      <c r="L220" s="5"/>
      <c r="M220" s="10"/>
      <c r="N220" s="5"/>
      <c r="O220" s="10"/>
      <c r="P220" s="5"/>
      <c r="Q220" s="10"/>
      <c r="R220" s="5"/>
      <c r="S220" s="10"/>
      <c r="T220" s="5"/>
    </row>
    <row r="221" spans="1:20" ht="16.5" customHeight="1" thickTop="1" thickBot="1">
      <c r="B221" s="6" t="s">
        <v>24</v>
      </c>
      <c r="C221" s="14">
        <f>SUMIF(C208:C220,"&gt;0")+SUMIF(D208:D220,"&gt;0")</f>
        <v>47946.34</v>
      </c>
      <c r="D221" s="14"/>
      <c r="E221" s="6" t="s">
        <v>25</v>
      </c>
      <c r="F221" s="14">
        <f>SUMIF(F208:F220,"&gt;0")+SUMIF(G208:G220,"&gt;0")</f>
        <v>34033</v>
      </c>
      <c r="G221" s="94" t="s">
        <v>26</v>
      </c>
      <c r="H221" s="96" t="s">
        <v>27</v>
      </c>
      <c r="I221" s="97">
        <f>SUM(I208:I220)</f>
        <v>50461.83</v>
      </c>
      <c r="J221" s="96" t="s">
        <v>27</v>
      </c>
      <c r="K221" s="97">
        <f>SUM(K208:K220)</f>
        <v>32967.89</v>
      </c>
      <c r="L221" s="5"/>
      <c r="M221" s="10"/>
      <c r="N221" s="5"/>
      <c r="O221" s="10"/>
      <c r="P221" s="5"/>
      <c r="Q221" s="10"/>
      <c r="R221" s="5"/>
      <c r="S221" s="10"/>
      <c r="T221" s="5"/>
    </row>
    <row r="222" spans="1:20" ht="16.5" customHeight="1" thickTop="1" thickBot="1">
      <c r="B222" s="6" t="s">
        <v>28</v>
      </c>
      <c r="C222" s="14">
        <f>SUMIF(C208:C220,"&gt;0")</f>
        <v>47946.34</v>
      </c>
      <c r="D222" s="14"/>
      <c r="E222" s="6" t="s">
        <v>28</v>
      </c>
      <c r="F222" s="14">
        <f>SUMIF(F208:F220,"&gt;0")</f>
        <v>34033</v>
      </c>
      <c r="G222" s="94"/>
      <c r="H222" s="96"/>
      <c r="I222" s="97"/>
      <c r="J222" s="96"/>
      <c r="K222" s="97"/>
      <c r="L222" s="5"/>
      <c r="M222" s="6" t="s">
        <v>29</v>
      </c>
      <c r="N222" s="14">
        <f>SUM(N208:N221)</f>
        <v>17681.669999999998</v>
      </c>
      <c r="O222" s="6" t="s">
        <v>29</v>
      </c>
      <c r="P222" s="14">
        <f>SUM(P208:P221)</f>
        <v>1000</v>
      </c>
      <c r="Q222" s="6" t="s">
        <v>29</v>
      </c>
      <c r="R222" s="14">
        <f>SUM(R208:R221)</f>
        <v>1500</v>
      </c>
      <c r="S222" s="6" t="s">
        <v>29</v>
      </c>
      <c r="T222" s="14">
        <f>SUM(T208:T221)</f>
        <v>3500</v>
      </c>
    </row>
    <row r="223" spans="1:20" ht="22.2" thickTop="1" thickBot="1">
      <c r="B223" s="6" t="s">
        <v>30</v>
      </c>
      <c r="C223" s="14">
        <f>I221-C221</f>
        <v>2515.4900000000052</v>
      </c>
      <c r="D223" s="14"/>
      <c r="E223" s="6" t="s">
        <v>31</v>
      </c>
      <c r="F223" s="14">
        <f>K221-F221</f>
        <v>-1065.1100000000006</v>
      </c>
      <c r="G223" s="15">
        <f>C223+F223</f>
        <v>1450.3800000000047</v>
      </c>
      <c r="H223" s="6" t="s">
        <v>32</v>
      </c>
      <c r="I223" s="16">
        <f>SUM(I221+K221)</f>
        <v>83429.72</v>
      </c>
      <c r="J223" s="6" t="s">
        <v>33</v>
      </c>
      <c r="K223" s="14">
        <f>C221+F221</f>
        <v>81979.34</v>
      </c>
      <c r="L223" s="13"/>
      <c r="M223" s="6" t="s">
        <v>34</v>
      </c>
      <c r="N223" s="91">
        <f>N222+P222</f>
        <v>18681.669999999998</v>
      </c>
      <c r="O223" s="91"/>
      <c r="P223" s="91"/>
      <c r="Q223" s="6" t="s">
        <v>34</v>
      </c>
      <c r="R223" s="91">
        <f>R222+T222</f>
        <v>5000</v>
      </c>
      <c r="S223" s="91"/>
      <c r="T223" s="91"/>
    </row>
    <row r="224" spans="1:20" ht="14.4" thickTop="1"/>
    <row r="226" spans="2:20" ht="14.4" thickBot="1"/>
    <row r="227" spans="2:20" ht="21" thickTop="1" thickBot="1">
      <c r="B227" s="101" t="s">
        <v>52</v>
      </c>
      <c r="C227" s="102"/>
      <c r="D227" s="102"/>
      <c r="E227" s="102"/>
      <c r="F227" s="102"/>
      <c r="G227" s="103"/>
      <c r="H227" s="101" t="s">
        <v>53</v>
      </c>
      <c r="I227" s="102"/>
      <c r="J227" s="102"/>
      <c r="K227" s="103"/>
      <c r="L227" s="4"/>
      <c r="M227" s="92" t="s">
        <v>6</v>
      </c>
      <c r="N227" s="92"/>
      <c r="O227" s="92"/>
      <c r="P227" s="92"/>
      <c r="Q227" s="92" t="s">
        <v>62</v>
      </c>
      <c r="R227" s="92"/>
      <c r="S227" s="92"/>
      <c r="T227" s="92"/>
    </row>
    <row r="228" spans="2:20" ht="18.600000000000001" thickTop="1" thickBot="1">
      <c r="B228" s="104" t="s">
        <v>8</v>
      </c>
      <c r="C228" s="105"/>
      <c r="D228" s="106"/>
      <c r="E228" s="104" t="s">
        <v>9</v>
      </c>
      <c r="F228" s="105"/>
      <c r="G228" s="106"/>
      <c r="H228" s="104" t="s">
        <v>8</v>
      </c>
      <c r="I228" s="106"/>
      <c r="J228" s="104" t="s">
        <v>9</v>
      </c>
      <c r="K228" s="106"/>
      <c r="L228" s="5"/>
      <c r="M228" s="94" t="s">
        <v>8</v>
      </c>
      <c r="N228" s="94"/>
      <c r="O228" s="94" t="s">
        <v>9</v>
      </c>
      <c r="P228" s="94"/>
      <c r="Q228" s="94" t="s">
        <v>8</v>
      </c>
      <c r="R228" s="94"/>
      <c r="S228" s="94" t="s">
        <v>9</v>
      </c>
      <c r="T228" s="94"/>
    </row>
    <row r="229" spans="2:20" ht="15.6" thickTop="1" thickBot="1">
      <c r="B229" s="99" t="s">
        <v>13</v>
      </c>
      <c r="C229" s="100"/>
      <c r="D229" s="6" t="s">
        <v>12</v>
      </c>
      <c r="E229" s="99" t="s">
        <v>13</v>
      </c>
      <c r="F229" s="100"/>
      <c r="G229" s="6" t="s">
        <v>12</v>
      </c>
      <c r="H229" s="99" t="s">
        <v>14</v>
      </c>
      <c r="I229" s="100"/>
      <c r="J229" s="99" t="s">
        <v>14</v>
      </c>
      <c r="K229" s="100"/>
      <c r="L229" s="5"/>
      <c r="M229" s="93" t="s">
        <v>13</v>
      </c>
      <c r="N229" s="93"/>
      <c r="O229" s="93" t="s">
        <v>13</v>
      </c>
      <c r="P229" s="93"/>
      <c r="Q229" s="93" t="s">
        <v>13</v>
      </c>
      <c r="R229" s="93"/>
      <c r="S229" s="93" t="s">
        <v>13</v>
      </c>
      <c r="T229" s="93"/>
    </row>
    <row r="230" spans="2:20" ht="15" thickTop="1">
      <c r="B230" s="9" t="s">
        <v>16</v>
      </c>
      <c r="C230" s="4">
        <f>3783+(I231*0.1)+(I232*0.1)-D230</f>
        <v>5783</v>
      </c>
      <c r="D230" s="4"/>
      <c r="E230" s="9" t="s">
        <v>16</v>
      </c>
      <c r="F230" s="4">
        <f>3783+(K231*0.1)+(K232*0.1)-G230</f>
        <v>3783</v>
      </c>
      <c r="G230" s="4"/>
      <c r="H230" s="10" t="s">
        <v>64</v>
      </c>
      <c r="I230" s="5">
        <v>30461.83</v>
      </c>
      <c r="J230" s="10" t="s">
        <v>64</v>
      </c>
      <c r="K230" s="5">
        <v>32967.89</v>
      </c>
      <c r="L230" s="5"/>
      <c r="M230" s="10" t="s">
        <v>85</v>
      </c>
      <c r="N230" s="5">
        <v>653.15</v>
      </c>
      <c r="O230" s="10" t="s">
        <v>67</v>
      </c>
      <c r="P230" s="5">
        <v>1000</v>
      </c>
      <c r="Q230" s="10" t="s">
        <v>130</v>
      </c>
      <c r="R230" s="5">
        <f>699.4+485.36</f>
        <v>1184.76</v>
      </c>
      <c r="S230" s="10" t="s">
        <v>134</v>
      </c>
      <c r="T230" s="5">
        <v>1750</v>
      </c>
    </row>
    <row r="231" spans="2:20" ht="14.4">
      <c r="B231" s="11" t="s">
        <v>17</v>
      </c>
      <c r="C231" s="5">
        <f>12000-D231</f>
        <v>12000</v>
      </c>
      <c r="D231" s="5"/>
      <c r="E231" s="11" t="s">
        <v>17</v>
      </c>
      <c r="F231" s="5">
        <f>12000-G231</f>
        <v>12000</v>
      </c>
      <c r="G231" s="5"/>
      <c r="H231" s="10" t="s">
        <v>112</v>
      </c>
      <c r="I231" s="5">
        <v>20000</v>
      </c>
      <c r="J231" s="10"/>
      <c r="K231" s="5"/>
      <c r="L231" s="5"/>
      <c r="M231" s="10" t="s">
        <v>68</v>
      </c>
      <c r="N231">
        <v>692.76</v>
      </c>
      <c r="O231" s="10"/>
      <c r="P231" s="5"/>
      <c r="Q231" s="10" t="s">
        <v>132</v>
      </c>
      <c r="R231" s="5">
        <v>0</v>
      </c>
      <c r="S231" s="10" t="s">
        <v>131</v>
      </c>
      <c r="T231" s="5">
        <f>11*5</f>
        <v>55</v>
      </c>
    </row>
    <row r="232" spans="2:20" ht="14.4">
      <c r="B232" s="11" t="s">
        <v>18</v>
      </c>
      <c r="C232" s="5">
        <f>3500-D232</f>
        <v>3500</v>
      </c>
      <c r="D232" s="5"/>
      <c r="E232" s="11" t="s">
        <v>18</v>
      </c>
      <c r="F232" s="5">
        <f>3500-G232</f>
        <v>3500</v>
      </c>
      <c r="G232" s="5"/>
      <c r="H232" s="10"/>
      <c r="I232" s="5"/>
      <c r="J232" s="10"/>
      <c r="K232" s="5"/>
      <c r="L232" s="5"/>
      <c r="M232" s="10" t="s">
        <v>99</v>
      </c>
      <c r="N232" s="5">
        <v>1324.61</v>
      </c>
      <c r="O232" s="10"/>
      <c r="P232" s="5"/>
      <c r="Q232" s="10" t="s">
        <v>133</v>
      </c>
      <c r="R232" s="5">
        <v>229.02</v>
      </c>
      <c r="S232" s="10" t="s">
        <v>135</v>
      </c>
      <c r="T232" s="5">
        <v>474</v>
      </c>
    </row>
    <row r="233" spans="2:20" ht="14.4">
      <c r="B233" s="11"/>
      <c r="C233" s="5"/>
      <c r="D233" s="5"/>
      <c r="E233" s="11"/>
      <c r="F233" s="5"/>
      <c r="G233" s="5"/>
      <c r="H233" s="10"/>
      <c r="I233" s="5"/>
      <c r="J233" s="10"/>
      <c r="K233" s="5"/>
      <c r="L233" s="5"/>
      <c r="M233" s="10" t="s">
        <v>98</v>
      </c>
      <c r="N233" s="5">
        <v>316.7</v>
      </c>
      <c r="O233" s="10"/>
      <c r="P233" s="5"/>
      <c r="Q233" s="10"/>
      <c r="R233" s="5"/>
      <c r="S233" s="10" t="s">
        <v>136</v>
      </c>
      <c r="T233" s="5">
        <v>2389.8200000000002</v>
      </c>
    </row>
    <row r="234" spans="2:20" ht="14.4">
      <c r="B234" s="11" t="s">
        <v>19</v>
      </c>
      <c r="C234" s="5">
        <f>0-D234</f>
        <v>0</v>
      </c>
      <c r="D234" s="5"/>
      <c r="E234" s="11" t="s">
        <v>19</v>
      </c>
      <c r="F234" s="5">
        <f>3000-G234</f>
        <v>3000</v>
      </c>
      <c r="G234" s="5"/>
      <c r="H234" s="10"/>
      <c r="I234" s="5"/>
      <c r="J234" s="10"/>
      <c r="K234" s="5"/>
      <c r="L234" s="5"/>
      <c r="M234" s="10" t="s">
        <v>111</v>
      </c>
      <c r="N234" s="5">
        <v>329</v>
      </c>
      <c r="O234" s="10"/>
      <c r="P234" s="5"/>
      <c r="Q234" s="10"/>
      <c r="R234" s="5"/>
      <c r="S234" s="10" t="s">
        <v>137</v>
      </c>
      <c r="T234" s="5">
        <v>535</v>
      </c>
    </row>
    <row r="235" spans="2:20" ht="14.4">
      <c r="B235" s="11" t="s">
        <v>65</v>
      </c>
      <c r="C235" s="5">
        <f>500-D235</f>
        <v>500</v>
      </c>
      <c r="D235" s="5"/>
      <c r="E235" s="11" t="s">
        <v>65</v>
      </c>
      <c r="F235" s="5">
        <f>500-G235</f>
        <v>500</v>
      </c>
      <c r="G235" s="5"/>
      <c r="H235" s="10"/>
      <c r="I235" s="5"/>
      <c r="J235" s="10"/>
      <c r="K235" s="5"/>
      <c r="L235" s="5"/>
      <c r="M235" s="10" t="s">
        <v>109</v>
      </c>
      <c r="N235" s="5">
        <v>11365.45</v>
      </c>
      <c r="O235" s="10"/>
      <c r="P235" s="5"/>
      <c r="Q235" s="10"/>
      <c r="R235" s="5"/>
      <c r="S235" s="10" t="s">
        <v>139</v>
      </c>
      <c r="T235" s="5">
        <v>2410.1999999999998</v>
      </c>
    </row>
    <row r="236" spans="2:20" ht="14.4">
      <c r="B236" s="11" t="s">
        <v>66</v>
      </c>
      <c r="C236" s="5">
        <f>2000-D236</f>
        <v>2000</v>
      </c>
      <c r="D236" s="5"/>
      <c r="E236" s="11" t="s">
        <v>66</v>
      </c>
      <c r="F236" s="5">
        <f>2000-G236</f>
        <v>2000</v>
      </c>
      <c r="G236" s="5"/>
      <c r="H236" s="5"/>
      <c r="I236" s="5"/>
      <c r="J236" s="5"/>
      <c r="K236" s="5"/>
      <c r="L236" s="5"/>
      <c r="M236" s="10" t="s">
        <v>332</v>
      </c>
      <c r="N236" s="5">
        <v>3000</v>
      </c>
      <c r="O236" s="10"/>
      <c r="P236" s="5"/>
      <c r="Q236" s="10"/>
      <c r="R236" s="5"/>
      <c r="S236" s="10"/>
      <c r="T236" s="5"/>
    </row>
    <row r="237" spans="2:20" ht="14.4">
      <c r="B237" s="11" t="s">
        <v>36</v>
      </c>
      <c r="C237" s="5">
        <f>500-D237</f>
        <v>500</v>
      </c>
      <c r="D237" s="5"/>
      <c r="E237" s="11" t="s">
        <v>36</v>
      </c>
      <c r="F237" s="5">
        <f>500-G237</f>
        <v>500</v>
      </c>
      <c r="G237" s="5"/>
      <c r="H237" s="5"/>
      <c r="I237" s="5"/>
      <c r="J237" s="5"/>
      <c r="K237" s="5"/>
      <c r="L237" s="5"/>
      <c r="M237" s="10"/>
      <c r="N237" s="5"/>
      <c r="O237" s="35"/>
      <c r="P237" s="5"/>
      <c r="Q237" s="10"/>
      <c r="R237" s="5"/>
      <c r="S237" s="10"/>
      <c r="T237" s="5"/>
    </row>
    <row r="238" spans="2:20" ht="14.4">
      <c r="B238" s="11" t="s">
        <v>57</v>
      </c>
      <c r="C238" s="5">
        <f>SUM(R230:R243)-D238</f>
        <v>1413.78</v>
      </c>
      <c r="D238" s="5"/>
      <c r="E238" s="11" t="s">
        <v>57</v>
      </c>
      <c r="F238" s="5">
        <f>SUM(T230:T243)-G238</f>
        <v>7614.0199999999995</v>
      </c>
      <c r="G238" s="5"/>
      <c r="H238" s="5"/>
      <c r="I238" s="5"/>
      <c r="J238" s="5"/>
      <c r="K238" s="5"/>
      <c r="L238" s="5"/>
      <c r="M238" s="10"/>
      <c r="N238" s="5"/>
      <c r="O238" s="35"/>
      <c r="P238" s="38"/>
      <c r="Q238" s="10"/>
      <c r="R238" s="5"/>
      <c r="S238" s="10"/>
      <c r="T238" s="5"/>
    </row>
    <row r="239" spans="2:20" ht="14.4">
      <c r="B239" s="11" t="s">
        <v>21</v>
      </c>
      <c r="C239" s="5">
        <f>1400-D239</f>
        <v>1400</v>
      </c>
      <c r="D239" s="5"/>
      <c r="E239" s="11" t="s">
        <v>58</v>
      </c>
      <c r="F239" s="5">
        <f>250-G239</f>
        <v>250</v>
      </c>
      <c r="G239" s="5"/>
      <c r="H239" s="5"/>
      <c r="I239" s="5"/>
      <c r="J239" s="5"/>
      <c r="K239" s="5"/>
      <c r="L239" s="5"/>
      <c r="M239" s="10"/>
      <c r="N239" s="5"/>
      <c r="O239" s="35"/>
      <c r="P239" s="38"/>
      <c r="Q239" s="10"/>
      <c r="R239" s="5"/>
      <c r="S239" s="10"/>
      <c r="T239" s="5"/>
    </row>
    <row r="240" spans="2:20" ht="14.4">
      <c r="B240" s="11" t="s">
        <v>22</v>
      </c>
      <c r="C240" s="5">
        <f>249-D240</f>
        <v>249</v>
      </c>
      <c r="D240" s="5"/>
      <c r="E240" s="11" t="s">
        <v>61</v>
      </c>
      <c r="F240" s="5">
        <f>1000-G240</f>
        <v>1000</v>
      </c>
      <c r="G240" s="5"/>
      <c r="H240" s="5"/>
      <c r="I240" s="5"/>
      <c r="J240" s="5"/>
      <c r="K240" s="5"/>
      <c r="L240" s="5"/>
      <c r="M240" s="10"/>
      <c r="N240" s="5"/>
      <c r="O240" s="35"/>
      <c r="P240" s="38"/>
      <c r="Q240" s="10"/>
      <c r="R240" s="38"/>
      <c r="S240" s="10"/>
      <c r="T240" s="5"/>
    </row>
    <row r="241" spans="2:20" ht="14.4">
      <c r="B241" s="11" t="s">
        <v>20</v>
      </c>
      <c r="C241" s="5">
        <f>2832.67-D241</f>
        <v>2832.67</v>
      </c>
      <c r="D241" s="5"/>
      <c r="E241" s="11" t="s">
        <v>60</v>
      </c>
      <c r="F241" s="5">
        <f>3000-G241</f>
        <v>3000</v>
      </c>
      <c r="G241" s="5"/>
      <c r="H241" s="5"/>
      <c r="I241" s="5"/>
      <c r="J241" s="5"/>
      <c r="K241" s="5"/>
      <c r="L241" s="5"/>
      <c r="M241" s="10"/>
      <c r="N241" s="5"/>
      <c r="O241" s="10"/>
      <c r="P241" s="5"/>
      <c r="Q241" s="10"/>
      <c r="R241" s="5"/>
      <c r="S241" s="10"/>
      <c r="T241" s="5"/>
    </row>
    <row r="242" spans="2:20" ht="15" thickBot="1">
      <c r="B242" s="12" t="s">
        <v>23</v>
      </c>
      <c r="C242" s="13">
        <f>SUM(N230:N243)-D242</f>
        <v>17681.669999999998</v>
      </c>
      <c r="D242" s="13"/>
      <c r="E242" s="12" t="s">
        <v>23</v>
      </c>
      <c r="F242" s="13">
        <f>SUM(P230:P243)-G242</f>
        <v>1000</v>
      </c>
      <c r="G242" s="13"/>
      <c r="H242" s="13"/>
      <c r="I242" s="13"/>
      <c r="J242" s="13"/>
      <c r="K242" s="13"/>
      <c r="L242" s="5"/>
      <c r="M242" s="10"/>
      <c r="N242" s="5"/>
      <c r="O242" s="10"/>
      <c r="P242" s="5"/>
      <c r="Q242" s="10"/>
      <c r="R242" s="5"/>
      <c r="S242" s="10"/>
      <c r="T242" s="5"/>
    </row>
    <row r="243" spans="2:20" ht="15.6" thickTop="1" thickBot="1">
      <c r="B243" s="6" t="s">
        <v>24</v>
      </c>
      <c r="C243" s="14">
        <f>SUMIF(C230:C242,"&gt;0")+SUMIF(D230:D242,"&gt;0")</f>
        <v>47860.119999999995</v>
      </c>
      <c r="D243" s="14"/>
      <c r="E243" s="6" t="s">
        <v>25</v>
      </c>
      <c r="F243" s="14">
        <f>SUMIF(F230:F242,"&gt;0")+SUMIF(G230:G242,"&gt;0")</f>
        <v>38147.019999999997</v>
      </c>
      <c r="G243" s="94" t="s">
        <v>26</v>
      </c>
      <c r="H243" s="96" t="s">
        <v>27</v>
      </c>
      <c r="I243" s="97">
        <f>SUM(I230:I242)</f>
        <v>50461.83</v>
      </c>
      <c r="J243" s="96" t="s">
        <v>27</v>
      </c>
      <c r="K243" s="97">
        <f>SUM(K230:K242)</f>
        <v>32967.89</v>
      </c>
      <c r="L243" s="5"/>
      <c r="M243" s="10"/>
      <c r="N243" s="5"/>
      <c r="O243" s="10"/>
      <c r="P243" s="5"/>
      <c r="Q243" s="10"/>
      <c r="R243" s="5"/>
      <c r="S243" s="10"/>
      <c r="T243" s="5"/>
    </row>
    <row r="244" spans="2:20" ht="15.6" thickTop="1" thickBot="1">
      <c r="B244" s="6" t="s">
        <v>28</v>
      </c>
      <c r="C244" s="14">
        <f>SUMIF(C230:C242,"&gt;0")</f>
        <v>47860.119999999995</v>
      </c>
      <c r="D244" s="14"/>
      <c r="E244" s="6" t="s">
        <v>28</v>
      </c>
      <c r="F244" s="14">
        <f>SUMIF(F230:F242,"&gt;0")</f>
        <v>38147.019999999997</v>
      </c>
      <c r="G244" s="94"/>
      <c r="H244" s="96"/>
      <c r="I244" s="97"/>
      <c r="J244" s="96"/>
      <c r="K244" s="97"/>
      <c r="L244" s="5"/>
      <c r="M244" s="6" t="s">
        <v>29</v>
      </c>
      <c r="N244" s="14">
        <f>SUM(N230:N243)</f>
        <v>17681.669999999998</v>
      </c>
      <c r="O244" s="6" t="s">
        <v>29</v>
      </c>
      <c r="P244" s="14">
        <f>SUM(P230:P243)</f>
        <v>1000</v>
      </c>
      <c r="Q244" s="6" t="s">
        <v>29</v>
      </c>
      <c r="R244" s="14">
        <f>SUM(R230:R243)</f>
        <v>1413.78</v>
      </c>
      <c r="S244" s="6" t="s">
        <v>29</v>
      </c>
      <c r="T244" s="14">
        <f>SUM(T230:T243)</f>
        <v>7614.0199999999995</v>
      </c>
    </row>
    <row r="245" spans="2:20" ht="22.2" thickTop="1" thickBot="1">
      <c r="B245" s="6" t="s">
        <v>30</v>
      </c>
      <c r="C245" s="14">
        <f>I243-C243</f>
        <v>2601.7100000000064</v>
      </c>
      <c r="D245" s="14"/>
      <c r="E245" s="6" t="s">
        <v>31</v>
      </c>
      <c r="F245" s="14">
        <f>K243-F243</f>
        <v>-5179.1299999999974</v>
      </c>
      <c r="G245" s="15">
        <f>C245+F245</f>
        <v>-2577.419999999991</v>
      </c>
      <c r="H245" s="6" t="s">
        <v>32</v>
      </c>
      <c r="I245" s="16">
        <f>SUM(I243+K243)</f>
        <v>83429.72</v>
      </c>
      <c r="J245" s="6" t="s">
        <v>33</v>
      </c>
      <c r="K245" s="14">
        <f>C243+F243</f>
        <v>86007.139999999985</v>
      </c>
      <c r="L245" s="13"/>
      <c r="M245" s="6" t="s">
        <v>34</v>
      </c>
      <c r="N245" s="91">
        <f>N244+P244</f>
        <v>18681.669999999998</v>
      </c>
      <c r="O245" s="91"/>
      <c r="P245" s="91"/>
      <c r="Q245" s="6" t="s">
        <v>34</v>
      </c>
      <c r="R245" s="91">
        <f>R244+T244</f>
        <v>9027.7999999999993</v>
      </c>
      <c r="S245" s="91"/>
      <c r="T245" s="91"/>
    </row>
    <row r="246" spans="2:20" ht="14.4" thickTop="1"/>
    <row r="248" spans="2:20" ht="14.4" thickBot="1"/>
    <row r="249" spans="2:20" ht="21" thickTop="1" thickBot="1">
      <c r="B249" s="92" t="s">
        <v>54</v>
      </c>
      <c r="C249" s="92"/>
      <c r="D249" s="92"/>
      <c r="E249" s="92"/>
      <c r="F249" s="92"/>
      <c r="G249" s="92"/>
      <c r="H249" s="92" t="s">
        <v>55</v>
      </c>
      <c r="I249" s="92"/>
      <c r="J249" s="92"/>
      <c r="K249" s="92"/>
      <c r="L249" s="4"/>
      <c r="M249" s="92" t="s">
        <v>6</v>
      </c>
      <c r="N249" s="92"/>
      <c r="O249" s="92"/>
      <c r="P249" s="92"/>
      <c r="Q249" s="92" t="s">
        <v>62</v>
      </c>
      <c r="R249" s="92"/>
      <c r="S249" s="92"/>
      <c r="T249" s="92"/>
    </row>
    <row r="250" spans="2:20" ht="18.600000000000001" thickTop="1" thickBot="1">
      <c r="B250" s="94" t="s">
        <v>8</v>
      </c>
      <c r="C250" s="94"/>
      <c r="D250" s="94"/>
      <c r="E250" s="94" t="s">
        <v>9</v>
      </c>
      <c r="F250" s="94"/>
      <c r="G250" s="94"/>
      <c r="H250" s="94" t="s">
        <v>8</v>
      </c>
      <c r="I250" s="94"/>
      <c r="J250" s="94" t="s">
        <v>9</v>
      </c>
      <c r="K250" s="94"/>
      <c r="L250" s="5"/>
      <c r="M250" s="94" t="s">
        <v>8</v>
      </c>
      <c r="N250" s="94"/>
      <c r="O250" s="94" t="s">
        <v>9</v>
      </c>
      <c r="P250" s="94"/>
      <c r="Q250" s="94" t="s">
        <v>8</v>
      </c>
      <c r="R250" s="94"/>
      <c r="S250" s="94" t="s">
        <v>9</v>
      </c>
      <c r="T250" s="94"/>
    </row>
    <row r="251" spans="2:20" ht="15.6" thickTop="1" thickBot="1">
      <c r="B251" s="93" t="s">
        <v>13</v>
      </c>
      <c r="C251" s="93"/>
      <c r="D251" s="6" t="s">
        <v>12</v>
      </c>
      <c r="E251" s="93" t="s">
        <v>13</v>
      </c>
      <c r="F251" s="93"/>
      <c r="G251" s="6" t="s">
        <v>12</v>
      </c>
      <c r="H251" s="93" t="s">
        <v>14</v>
      </c>
      <c r="I251" s="93"/>
      <c r="J251" s="93" t="s">
        <v>14</v>
      </c>
      <c r="K251" s="93"/>
      <c r="L251" s="5"/>
      <c r="M251" s="93" t="s">
        <v>13</v>
      </c>
      <c r="N251" s="93"/>
      <c r="O251" s="93" t="s">
        <v>13</v>
      </c>
      <c r="P251" s="93"/>
      <c r="Q251" s="93" t="s">
        <v>13</v>
      </c>
      <c r="R251" s="93"/>
      <c r="S251" s="93" t="s">
        <v>13</v>
      </c>
      <c r="T251" s="93"/>
    </row>
    <row r="252" spans="2:20" ht="15" thickTop="1">
      <c r="B252" s="9" t="s">
        <v>16</v>
      </c>
      <c r="C252" s="4">
        <f>3783+2000-D252</f>
        <v>-8.6700000000000728</v>
      </c>
      <c r="D252" s="4">
        <f>3783+5.67+2000+3</f>
        <v>5791.67</v>
      </c>
      <c r="E252" s="9" t="s">
        <v>16</v>
      </c>
      <c r="F252" s="4">
        <f>3783-G252</f>
        <v>3783</v>
      </c>
      <c r="G252" s="4"/>
      <c r="H252" s="10" t="s">
        <v>64</v>
      </c>
      <c r="I252" s="5">
        <v>30461.83</v>
      </c>
      <c r="J252" s="10" t="s">
        <v>64</v>
      </c>
      <c r="K252" s="5">
        <v>31407.15</v>
      </c>
      <c r="L252" s="5"/>
      <c r="M252" s="10" t="s">
        <v>85</v>
      </c>
      <c r="N252" s="5">
        <v>653.15</v>
      </c>
      <c r="O252" s="10" t="s">
        <v>67</v>
      </c>
      <c r="P252" s="5">
        <v>1000</v>
      </c>
      <c r="Q252" s="10" t="s">
        <v>140</v>
      </c>
      <c r="R252" s="5">
        <v>1250</v>
      </c>
      <c r="S252" s="10" t="s">
        <v>97</v>
      </c>
      <c r="T252" s="5">
        <v>3500</v>
      </c>
    </row>
    <row r="253" spans="2:20" ht="14.4">
      <c r="B253" s="11" t="s">
        <v>17</v>
      </c>
      <c r="C253" s="5">
        <f>9000-D253</f>
        <v>-5149.7999999999993</v>
      </c>
      <c r="D253" s="5">
        <f>1045.8+9657+2896+551</f>
        <v>14149.8</v>
      </c>
      <c r="E253" s="11" t="s">
        <v>17</v>
      </c>
      <c r="F253" s="5">
        <f>9000-G253</f>
        <v>9000</v>
      </c>
      <c r="G253" s="5"/>
      <c r="H253" s="10" t="s">
        <v>112</v>
      </c>
      <c r="I253" s="5">
        <v>20000</v>
      </c>
      <c r="J253" s="10"/>
      <c r="K253" s="5"/>
      <c r="L253" s="5"/>
      <c r="M253" s="10" t="s">
        <v>68</v>
      </c>
      <c r="N253">
        <v>692.76</v>
      </c>
      <c r="O253" s="10"/>
      <c r="P253" s="5"/>
      <c r="Q253" s="10" t="s">
        <v>141</v>
      </c>
      <c r="R253" s="5">
        <v>635.08000000000004</v>
      </c>
      <c r="S253" s="10"/>
      <c r="T253" s="5"/>
    </row>
    <row r="254" spans="2:20" ht="14.4">
      <c r="B254" s="11" t="s">
        <v>18</v>
      </c>
      <c r="C254" s="5">
        <f>3000-D254</f>
        <v>-3411.26</v>
      </c>
      <c r="D254" s="5">
        <f>628.58+352.46+392.68+627.98+332.2+349.81+498.45+105.07+371.62+477.9+60+707.78+856.73+650</f>
        <v>6411.26</v>
      </c>
      <c r="E254" s="11" t="s">
        <v>18</v>
      </c>
      <c r="F254" s="5">
        <f>3000-G254</f>
        <v>3000</v>
      </c>
      <c r="G254" s="5"/>
      <c r="H254" s="10"/>
      <c r="I254" s="5"/>
      <c r="J254" s="10"/>
      <c r="K254" s="5"/>
      <c r="L254" s="5"/>
      <c r="M254" s="10" t="s">
        <v>99</v>
      </c>
      <c r="N254" s="5">
        <v>1324.61</v>
      </c>
      <c r="O254" s="10"/>
      <c r="P254" s="5"/>
      <c r="Q254" s="10" t="s">
        <v>142</v>
      </c>
      <c r="R254" s="5">
        <v>324</v>
      </c>
      <c r="S254" s="10"/>
      <c r="T254" s="5"/>
    </row>
    <row r="255" spans="2:20" ht="14.4">
      <c r="B255" s="11"/>
      <c r="C255" s="5"/>
      <c r="D255" s="5"/>
      <c r="E255" s="11"/>
      <c r="F255" s="5"/>
      <c r="G255" s="5"/>
      <c r="H255" s="10"/>
      <c r="I255" s="5"/>
      <c r="J255" s="10"/>
      <c r="K255" s="5"/>
      <c r="L255" s="5"/>
      <c r="M255" s="10" t="s">
        <v>98</v>
      </c>
      <c r="N255" s="5">
        <v>316.7</v>
      </c>
      <c r="O255" s="10"/>
      <c r="P255" s="5"/>
      <c r="Q255" s="10"/>
      <c r="R255" s="5"/>
      <c r="S255" s="10"/>
      <c r="T255" s="5"/>
    </row>
    <row r="256" spans="2:20" ht="14.4">
      <c r="B256" s="11" t="s">
        <v>19</v>
      </c>
      <c r="C256" s="5">
        <f>2000-D256</f>
        <v>-3</v>
      </c>
      <c r="D256" s="5">
        <f>2000+3</f>
        <v>2003</v>
      </c>
      <c r="E256" s="11" t="s">
        <v>19</v>
      </c>
      <c r="F256" s="5">
        <v>2000</v>
      </c>
      <c r="G256" s="5"/>
      <c r="H256" s="10"/>
      <c r="I256" s="5"/>
      <c r="J256" s="10"/>
      <c r="K256" s="5"/>
      <c r="L256" s="5"/>
      <c r="M256" s="10" t="s">
        <v>111</v>
      </c>
      <c r="N256" s="5">
        <v>329</v>
      </c>
      <c r="O256" s="10"/>
      <c r="P256" s="5"/>
      <c r="Q256" s="10"/>
      <c r="R256" s="5"/>
      <c r="S256" s="10"/>
      <c r="T256" s="5"/>
    </row>
    <row r="257" spans="2:20" ht="14.4">
      <c r="B257" s="11" t="s">
        <v>65</v>
      </c>
      <c r="C257" s="5">
        <f>0-D257</f>
        <v>0</v>
      </c>
      <c r="D257" s="5"/>
      <c r="E257" s="11" t="s">
        <v>65</v>
      </c>
      <c r="F257" s="5">
        <f>500-G257</f>
        <v>500</v>
      </c>
      <c r="G257" s="5"/>
      <c r="H257" s="10"/>
      <c r="I257" s="5"/>
      <c r="J257" s="10"/>
      <c r="K257" s="5"/>
      <c r="L257" s="5"/>
      <c r="M257" s="10" t="s">
        <v>109</v>
      </c>
      <c r="N257" s="5">
        <v>11365.45</v>
      </c>
      <c r="O257" s="10"/>
      <c r="P257" s="5"/>
      <c r="Q257" s="10"/>
      <c r="R257" s="5"/>
      <c r="S257" s="10"/>
      <c r="T257" s="5"/>
    </row>
    <row r="258" spans="2:20" ht="14.4">
      <c r="B258" s="11" t="s">
        <v>66</v>
      </c>
      <c r="C258" s="5">
        <f>0-D258</f>
        <v>0</v>
      </c>
      <c r="D258" s="5"/>
      <c r="E258" s="11" t="s">
        <v>66</v>
      </c>
      <c r="F258" s="5">
        <f>2000-G258</f>
        <v>2000</v>
      </c>
      <c r="G258" s="5"/>
      <c r="H258" s="5"/>
      <c r="I258" s="5"/>
      <c r="J258" s="5"/>
      <c r="K258" s="5"/>
      <c r="L258" s="5"/>
      <c r="M258" s="10" t="s">
        <v>332</v>
      </c>
      <c r="N258" s="5">
        <v>3000</v>
      </c>
      <c r="O258" s="10"/>
      <c r="P258" s="5"/>
      <c r="Q258" s="10"/>
      <c r="R258" s="5"/>
      <c r="S258" s="10"/>
      <c r="T258" s="5"/>
    </row>
    <row r="259" spans="2:20" ht="14.4">
      <c r="B259" s="11" t="s">
        <v>36</v>
      </c>
      <c r="C259" s="5">
        <f>1000-D259</f>
        <v>1000</v>
      </c>
      <c r="D259" s="5"/>
      <c r="E259" s="11" t="s">
        <v>36</v>
      </c>
      <c r="F259" s="5">
        <f>1000-G259</f>
        <v>1000</v>
      </c>
      <c r="G259" s="5"/>
      <c r="H259" s="5"/>
      <c r="I259" s="5"/>
      <c r="J259" s="5"/>
      <c r="K259" s="5"/>
      <c r="L259" s="5"/>
      <c r="M259" s="10"/>
      <c r="N259" s="5"/>
      <c r="O259" s="35"/>
      <c r="P259" s="5"/>
      <c r="Q259" s="10"/>
      <c r="R259" s="5"/>
      <c r="S259" s="10"/>
      <c r="T259" s="5"/>
    </row>
    <row r="260" spans="2:20" ht="14.4">
      <c r="B260" s="11" t="s">
        <v>57</v>
      </c>
      <c r="C260" s="5">
        <f>SUM(R252:R265)-D260</f>
        <v>2209.08</v>
      </c>
      <c r="D260" s="5"/>
      <c r="E260" s="11" t="s">
        <v>57</v>
      </c>
      <c r="F260" s="5">
        <f>SUM(T252:T265)-G260</f>
        <v>3500</v>
      </c>
      <c r="G260" s="5"/>
      <c r="H260" s="5"/>
      <c r="I260" s="5"/>
      <c r="J260" s="5"/>
      <c r="K260" s="5"/>
      <c r="L260" s="5"/>
      <c r="M260" s="10"/>
      <c r="N260" s="5"/>
      <c r="O260" s="10"/>
      <c r="P260" s="5"/>
      <c r="Q260" s="10"/>
      <c r="R260" s="5"/>
      <c r="S260" s="10"/>
      <c r="T260" s="5"/>
    </row>
    <row r="261" spans="2:20" ht="14.4">
      <c r="B261" s="11" t="s">
        <v>21</v>
      </c>
      <c r="C261" s="5">
        <f>1400-D261</f>
        <v>-2.0999999999999091</v>
      </c>
      <c r="D261" s="5">
        <f>1400+2.1</f>
        <v>1402.1</v>
      </c>
      <c r="E261" s="11" t="s">
        <v>58</v>
      </c>
      <c r="F261" s="5">
        <f>250-G261</f>
        <v>250</v>
      </c>
      <c r="G261" s="5"/>
      <c r="H261" s="5"/>
      <c r="I261" s="5"/>
      <c r="J261" s="5"/>
      <c r="K261" s="5"/>
      <c r="L261" s="5"/>
      <c r="M261" s="10"/>
      <c r="N261" s="5"/>
      <c r="O261" s="10"/>
      <c r="P261" s="5"/>
      <c r="Q261" s="10"/>
      <c r="R261" s="5"/>
      <c r="S261" s="10"/>
      <c r="T261" s="5"/>
    </row>
    <row r="262" spans="2:20" ht="14.4">
      <c r="B262" s="11" t="s">
        <v>22</v>
      </c>
      <c r="C262" s="5">
        <f>249.4-D262</f>
        <v>-0.37000000000000455</v>
      </c>
      <c r="D262" s="5">
        <f>249.4+0.37</f>
        <v>249.77</v>
      </c>
      <c r="E262" s="11" t="s">
        <v>61</v>
      </c>
      <c r="F262" s="5">
        <f>1000-G262</f>
        <v>1000</v>
      </c>
      <c r="G262" s="5"/>
      <c r="H262" s="5"/>
      <c r="I262" s="5"/>
      <c r="J262" s="5"/>
      <c r="K262" s="5"/>
      <c r="L262" s="5"/>
      <c r="M262" s="10"/>
      <c r="N262" s="5"/>
      <c r="O262" s="10"/>
      <c r="P262" s="5"/>
      <c r="Q262" s="10"/>
      <c r="R262" s="5"/>
      <c r="S262" s="10"/>
      <c r="T262" s="5"/>
    </row>
    <row r="263" spans="2:20" ht="14.4">
      <c r="B263" s="11" t="s">
        <v>20</v>
      </c>
      <c r="C263" s="5">
        <f>3289.07-D263</f>
        <v>-690.29999999999973</v>
      </c>
      <c r="D263" s="5">
        <f>3973.41+5.96</f>
        <v>3979.37</v>
      </c>
      <c r="E263" s="11" t="s">
        <v>60</v>
      </c>
      <c r="F263" s="5">
        <f>3000-G263</f>
        <v>3000</v>
      </c>
      <c r="G263" s="5"/>
      <c r="H263" s="5"/>
      <c r="I263" s="5"/>
      <c r="J263" s="5"/>
      <c r="K263" s="5"/>
      <c r="L263" s="5"/>
      <c r="M263" s="10"/>
      <c r="N263" s="5"/>
      <c r="O263" s="10"/>
      <c r="P263" s="5"/>
      <c r="Q263" s="10"/>
      <c r="R263" s="5"/>
      <c r="S263" s="10"/>
      <c r="T263" s="5"/>
    </row>
    <row r="264" spans="2:20" ht="15" thickBot="1">
      <c r="B264" s="12" t="s">
        <v>23</v>
      </c>
      <c r="C264" s="13">
        <f>SUM(N252:N265)-D264</f>
        <v>1313.7999999999975</v>
      </c>
      <c r="D264" s="13">
        <f>N256+1.84+N257+1.64+N262+3+N263+4.33+N261+N258+N255+N264+N265+N252+N253</f>
        <v>16367.87</v>
      </c>
      <c r="E264" s="12" t="s">
        <v>23</v>
      </c>
      <c r="F264" s="13">
        <f>SUM(P252:P265)-G264</f>
        <v>1000</v>
      </c>
      <c r="G264" s="13"/>
      <c r="H264" s="13"/>
      <c r="I264" s="13"/>
      <c r="J264" s="13"/>
      <c r="K264" s="13"/>
      <c r="L264" s="5"/>
      <c r="M264" s="10"/>
      <c r="N264" s="5"/>
      <c r="O264" s="10"/>
      <c r="P264" s="5"/>
      <c r="Q264" s="10"/>
      <c r="R264" s="5"/>
      <c r="S264" s="10"/>
      <c r="T264" s="5"/>
    </row>
    <row r="265" spans="2:20" ht="15.6" thickTop="1" thickBot="1">
      <c r="B265" s="6" t="s">
        <v>24</v>
      </c>
      <c r="C265" s="14">
        <f>SUMIF(C252:C264,"&gt;0")+SUMIF(D252:D264,"&gt;0")</f>
        <v>54877.72</v>
      </c>
      <c r="D265" s="14"/>
      <c r="E265" s="6" t="s">
        <v>25</v>
      </c>
      <c r="F265" s="14">
        <f>SUMIF(F252:F264,"&gt;0")+SUMIF(G252:G264,"&gt;0")</f>
        <v>30033</v>
      </c>
      <c r="G265" s="94" t="s">
        <v>26</v>
      </c>
      <c r="H265" s="96" t="s">
        <v>27</v>
      </c>
      <c r="I265" s="97">
        <f>SUM(I252:I264)</f>
        <v>50461.83</v>
      </c>
      <c r="J265" s="96" t="s">
        <v>27</v>
      </c>
      <c r="K265" s="97">
        <f>SUM(K252:K264)</f>
        <v>31407.15</v>
      </c>
      <c r="L265" s="5"/>
      <c r="M265" s="10"/>
      <c r="N265" s="5"/>
      <c r="O265" s="10"/>
      <c r="P265" s="5"/>
      <c r="Q265" s="10"/>
      <c r="R265" s="5"/>
      <c r="S265" s="10"/>
      <c r="T265" s="5"/>
    </row>
    <row r="266" spans="2:20" ht="15.6" thickTop="1" thickBot="1">
      <c r="B266" s="6" t="s">
        <v>28</v>
      </c>
      <c r="C266" s="14">
        <f>SUMIF(C252:C264,"&gt;0")</f>
        <v>4522.8799999999974</v>
      </c>
      <c r="D266" s="14"/>
      <c r="E266" s="6" t="s">
        <v>28</v>
      </c>
      <c r="F266" s="14">
        <f>SUMIF(F252:F264,"&gt;0")</f>
        <v>30033</v>
      </c>
      <c r="G266" s="94"/>
      <c r="H266" s="96"/>
      <c r="I266" s="97"/>
      <c r="J266" s="96"/>
      <c r="K266" s="97"/>
      <c r="L266" s="5"/>
      <c r="M266" s="6" t="s">
        <v>29</v>
      </c>
      <c r="N266" s="14">
        <f>SUM(N252:N265)</f>
        <v>17681.669999999998</v>
      </c>
      <c r="O266" s="6" t="s">
        <v>29</v>
      </c>
      <c r="P266" s="14">
        <f>SUM(P252:P265)</f>
        <v>1000</v>
      </c>
      <c r="Q266" s="6" t="s">
        <v>29</v>
      </c>
      <c r="R266" s="14">
        <f>SUM(R252:R265)</f>
        <v>2209.08</v>
      </c>
      <c r="S266" s="6" t="s">
        <v>29</v>
      </c>
      <c r="T266" s="14">
        <f>SUM(T252:T265)</f>
        <v>3500</v>
      </c>
    </row>
    <row r="267" spans="2:20" ht="22.2" thickTop="1" thickBot="1">
      <c r="B267" s="6" t="s">
        <v>30</v>
      </c>
      <c r="C267" s="14">
        <f>I265-C265</f>
        <v>-4415.8899999999994</v>
      </c>
      <c r="D267" s="14"/>
      <c r="E267" s="6" t="s">
        <v>31</v>
      </c>
      <c r="F267" s="14">
        <f>K265-F265</f>
        <v>1374.1500000000015</v>
      </c>
      <c r="G267" s="15">
        <f>C267+F267</f>
        <v>-3041.739999999998</v>
      </c>
      <c r="H267" s="6" t="s">
        <v>32</v>
      </c>
      <c r="I267" s="16">
        <f>SUM(I265+K265)</f>
        <v>81868.98000000001</v>
      </c>
      <c r="J267" s="6" t="s">
        <v>33</v>
      </c>
      <c r="K267" s="14">
        <f>C265+F265</f>
        <v>84910.720000000001</v>
      </c>
      <c r="L267" s="13"/>
      <c r="M267" s="6" t="s">
        <v>34</v>
      </c>
      <c r="N267" s="91">
        <f>N266+P266</f>
        <v>18681.669999999998</v>
      </c>
      <c r="O267" s="91"/>
      <c r="P267" s="91"/>
      <c r="Q267" s="6" t="s">
        <v>34</v>
      </c>
      <c r="R267" s="91">
        <f>R266+T266</f>
        <v>5709.08</v>
      </c>
      <c r="S267" s="91"/>
      <c r="T267" s="91"/>
    </row>
    <row r="268" spans="2:20" ht="14.4" thickTop="1"/>
  </sheetData>
  <mergeCells count="326">
    <mergeCell ref="G199:G200"/>
    <mergeCell ref="H199:H200"/>
    <mergeCell ref="I199:I200"/>
    <mergeCell ref="J199:J200"/>
    <mergeCell ref="K199:K200"/>
    <mergeCell ref="N201:P201"/>
    <mergeCell ref="Q250:R250"/>
    <mergeCell ref="Q251:R251"/>
    <mergeCell ref="G243:G244"/>
    <mergeCell ref="H243:H244"/>
    <mergeCell ref="I243:I244"/>
    <mergeCell ref="J243:J244"/>
    <mergeCell ref="K243:K244"/>
    <mergeCell ref="N245:P245"/>
    <mergeCell ref="G221:G222"/>
    <mergeCell ref="H221:H222"/>
    <mergeCell ref="I221:I222"/>
    <mergeCell ref="J221:J222"/>
    <mergeCell ref="K221:K222"/>
    <mergeCell ref="N223:P223"/>
    <mergeCell ref="Q206:R206"/>
    <mergeCell ref="Q207:R207"/>
    <mergeCell ref="Q228:R228"/>
    <mergeCell ref="Q229:R229"/>
    <mergeCell ref="N267:P267"/>
    <mergeCell ref="B251:C251"/>
    <mergeCell ref="E251:F251"/>
    <mergeCell ref="H251:I251"/>
    <mergeCell ref="J251:K251"/>
    <mergeCell ref="M251:N251"/>
    <mergeCell ref="O251:P251"/>
    <mergeCell ref="B249:G249"/>
    <mergeCell ref="H249:K249"/>
    <mergeCell ref="M249:P249"/>
    <mergeCell ref="B250:D250"/>
    <mergeCell ref="E250:G250"/>
    <mergeCell ref="H250:I250"/>
    <mergeCell ref="J250:K250"/>
    <mergeCell ref="M250:N250"/>
    <mergeCell ref="O250:P250"/>
    <mergeCell ref="G265:G266"/>
    <mergeCell ref="H265:H266"/>
    <mergeCell ref="I265:I266"/>
    <mergeCell ref="J265:J266"/>
    <mergeCell ref="K265:K266"/>
    <mergeCell ref="B229:C229"/>
    <mergeCell ref="E229:F229"/>
    <mergeCell ref="H229:I229"/>
    <mergeCell ref="J229:K229"/>
    <mergeCell ref="M229:N229"/>
    <mergeCell ref="O229:P229"/>
    <mergeCell ref="B227:G227"/>
    <mergeCell ref="H227:K227"/>
    <mergeCell ref="M227:P227"/>
    <mergeCell ref="B228:D228"/>
    <mergeCell ref="E228:G228"/>
    <mergeCell ref="H228:I228"/>
    <mergeCell ref="J228:K228"/>
    <mergeCell ref="M228:N228"/>
    <mergeCell ref="O228:P228"/>
    <mergeCell ref="B207:C207"/>
    <mergeCell ref="E207:F207"/>
    <mergeCell ref="H207:I207"/>
    <mergeCell ref="J207:K207"/>
    <mergeCell ref="M207:N207"/>
    <mergeCell ref="O207:P207"/>
    <mergeCell ref="B205:G205"/>
    <mergeCell ref="H205:K205"/>
    <mergeCell ref="M205:P205"/>
    <mergeCell ref="B206:D206"/>
    <mergeCell ref="E206:G206"/>
    <mergeCell ref="H206:I206"/>
    <mergeCell ref="J206:K206"/>
    <mergeCell ref="M206:N206"/>
    <mergeCell ref="O206:P206"/>
    <mergeCell ref="N179:P179"/>
    <mergeCell ref="B163:C163"/>
    <mergeCell ref="E163:F163"/>
    <mergeCell ref="H163:I163"/>
    <mergeCell ref="J163:K163"/>
    <mergeCell ref="M163:N163"/>
    <mergeCell ref="O163:P163"/>
    <mergeCell ref="B185:C185"/>
    <mergeCell ref="E185:F185"/>
    <mergeCell ref="H185:I185"/>
    <mergeCell ref="J185:K185"/>
    <mergeCell ref="M185:N185"/>
    <mergeCell ref="O185:P185"/>
    <mergeCell ref="B183:G183"/>
    <mergeCell ref="H183:K183"/>
    <mergeCell ref="M183:P183"/>
    <mergeCell ref="B184:D184"/>
    <mergeCell ref="E184:G184"/>
    <mergeCell ref="H184:I184"/>
    <mergeCell ref="J184:K184"/>
    <mergeCell ref="M184:N184"/>
    <mergeCell ref="O184:P184"/>
    <mergeCell ref="B162:D162"/>
    <mergeCell ref="E162:G162"/>
    <mergeCell ref="H162:I162"/>
    <mergeCell ref="J162:K162"/>
    <mergeCell ref="M162:N162"/>
    <mergeCell ref="O162:P162"/>
    <mergeCell ref="G177:G178"/>
    <mergeCell ref="H177:H178"/>
    <mergeCell ref="I177:I178"/>
    <mergeCell ref="J177:J178"/>
    <mergeCell ref="K177:K178"/>
    <mergeCell ref="N157:P157"/>
    <mergeCell ref="B141:C141"/>
    <mergeCell ref="E141:F141"/>
    <mergeCell ref="H141:I141"/>
    <mergeCell ref="J141:K141"/>
    <mergeCell ref="M141:N141"/>
    <mergeCell ref="O141:P141"/>
    <mergeCell ref="B161:G161"/>
    <mergeCell ref="H161:K161"/>
    <mergeCell ref="M161:P161"/>
    <mergeCell ref="B140:D140"/>
    <mergeCell ref="E140:G140"/>
    <mergeCell ref="H140:I140"/>
    <mergeCell ref="J140:K140"/>
    <mergeCell ref="M140:N140"/>
    <mergeCell ref="O140:P140"/>
    <mergeCell ref="G155:G156"/>
    <mergeCell ref="H155:H156"/>
    <mergeCell ref="I155:I156"/>
    <mergeCell ref="J155:J156"/>
    <mergeCell ref="K155:K156"/>
    <mergeCell ref="N135:P135"/>
    <mergeCell ref="B119:C119"/>
    <mergeCell ref="E119:F119"/>
    <mergeCell ref="H119:I119"/>
    <mergeCell ref="J119:K119"/>
    <mergeCell ref="M119:N119"/>
    <mergeCell ref="O119:P119"/>
    <mergeCell ref="B139:G139"/>
    <mergeCell ref="H139:K139"/>
    <mergeCell ref="M139:P139"/>
    <mergeCell ref="B118:D118"/>
    <mergeCell ref="E118:G118"/>
    <mergeCell ref="H118:I118"/>
    <mergeCell ref="J118:K118"/>
    <mergeCell ref="M118:N118"/>
    <mergeCell ref="O118:P118"/>
    <mergeCell ref="G133:G134"/>
    <mergeCell ref="H133:H134"/>
    <mergeCell ref="I133:I134"/>
    <mergeCell ref="J133:J134"/>
    <mergeCell ref="K133:K134"/>
    <mergeCell ref="N113:P113"/>
    <mergeCell ref="B97:C97"/>
    <mergeCell ref="E97:F97"/>
    <mergeCell ref="H97:I97"/>
    <mergeCell ref="J97:K97"/>
    <mergeCell ref="M97:N97"/>
    <mergeCell ref="O97:P97"/>
    <mergeCell ref="B117:G117"/>
    <mergeCell ref="H117:K117"/>
    <mergeCell ref="M117:P117"/>
    <mergeCell ref="B96:D96"/>
    <mergeCell ref="E96:G96"/>
    <mergeCell ref="H96:I96"/>
    <mergeCell ref="J96:K96"/>
    <mergeCell ref="M96:N96"/>
    <mergeCell ref="O96:P96"/>
    <mergeCell ref="G111:G112"/>
    <mergeCell ref="H111:H112"/>
    <mergeCell ref="I111:I112"/>
    <mergeCell ref="J111:J112"/>
    <mergeCell ref="K111:K112"/>
    <mergeCell ref="N91:P91"/>
    <mergeCell ref="B75:C75"/>
    <mergeCell ref="E75:F75"/>
    <mergeCell ref="H75:I75"/>
    <mergeCell ref="J75:K75"/>
    <mergeCell ref="M75:N75"/>
    <mergeCell ref="O75:P75"/>
    <mergeCell ref="B95:G95"/>
    <mergeCell ref="H95:K95"/>
    <mergeCell ref="M95:P95"/>
    <mergeCell ref="B74:D74"/>
    <mergeCell ref="E74:G74"/>
    <mergeCell ref="H74:I74"/>
    <mergeCell ref="J74:K74"/>
    <mergeCell ref="M74:N74"/>
    <mergeCell ref="O74:P74"/>
    <mergeCell ref="G89:G90"/>
    <mergeCell ref="H89:H90"/>
    <mergeCell ref="I89:I90"/>
    <mergeCell ref="J89:J90"/>
    <mergeCell ref="K89:K90"/>
    <mergeCell ref="N69:P69"/>
    <mergeCell ref="B53:C53"/>
    <mergeCell ref="E53:F53"/>
    <mergeCell ref="H53:I53"/>
    <mergeCell ref="J53:K53"/>
    <mergeCell ref="M53:N53"/>
    <mergeCell ref="O53:P53"/>
    <mergeCell ref="B73:G73"/>
    <mergeCell ref="H73:K73"/>
    <mergeCell ref="M73:P73"/>
    <mergeCell ref="B52:D52"/>
    <mergeCell ref="E52:G52"/>
    <mergeCell ref="H52:I52"/>
    <mergeCell ref="J52:K52"/>
    <mergeCell ref="M52:N52"/>
    <mergeCell ref="O52:P52"/>
    <mergeCell ref="G67:G68"/>
    <mergeCell ref="H67:H68"/>
    <mergeCell ref="I67:I68"/>
    <mergeCell ref="J67:J68"/>
    <mergeCell ref="K67:K68"/>
    <mergeCell ref="N47:P47"/>
    <mergeCell ref="B31:C31"/>
    <mergeCell ref="E31:F31"/>
    <mergeCell ref="H31:I31"/>
    <mergeCell ref="J31:K31"/>
    <mergeCell ref="M31:N31"/>
    <mergeCell ref="O31:P31"/>
    <mergeCell ref="B51:G51"/>
    <mergeCell ref="H51:K51"/>
    <mergeCell ref="M51:P51"/>
    <mergeCell ref="V4:Y4"/>
    <mergeCell ref="B8:D8"/>
    <mergeCell ref="E8:G8"/>
    <mergeCell ref="H8:I8"/>
    <mergeCell ref="J8:K8"/>
    <mergeCell ref="M8:N8"/>
    <mergeCell ref="Q8:R8"/>
    <mergeCell ref="G23:G24"/>
    <mergeCell ref="H23:H24"/>
    <mergeCell ref="I23:I24"/>
    <mergeCell ref="J23:J24"/>
    <mergeCell ref="K23:K24"/>
    <mergeCell ref="O8:P8"/>
    <mergeCell ref="B9:C9"/>
    <mergeCell ref="E9:F9"/>
    <mergeCell ref="H9:I9"/>
    <mergeCell ref="J9:K9"/>
    <mergeCell ref="M9:N9"/>
    <mergeCell ref="O9:P9"/>
    <mergeCell ref="S9:T9"/>
    <mergeCell ref="B30:D30"/>
    <mergeCell ref="E30:G30"/>
    <mergeCell ref="H30:I30"/>
    <mergeCell ref="J30:K30"/>
    <mergeCell ref="M30:N30"/>
    <mergeCell ref="O30:P30"/>
    <mergeCell ref="G45:G46"/>
    <mergeCell ref="H45:H46"/>
    <mergeCell ref="I45:I46"/>
    <mergeCell ref="J45:J46"/>
    <mergeCell ref="K45:K46"/>
    <mergeCell ref="R25:T25"/>
    <mergeCell ref="B7:G7"/>
    <mergeCell ref="H7:K7"/>
    <mergeCell ref="M7:P7"/>
    <mergeCell ref="N25:P25"/>
    <mergeCell ref="B29:G29"/>
    <mergeCell ref="H29:K29"/>
    <mergeCell ref="M29:P29"/>
    <mergeCell ref="S207:T207"/>
    <mergeCell ref="S75:T75"/>
    <mergeCell ref="R91:T91"/>
    <mergeCell ref="Q95:T95"/>
    <mergeCell ref="S96:T96"/>
    <mergeCell ref="S97:T97"/>
    <mergeCell ref="R113:T113"/>
    <mergeCell ref="Q29:T29"/>
    <mergeCell ref="S30:T30"/>
    <mergeCell ref="S31:T31"/>
    <mergeCell ref="R47:T47"/>
    <mergeCell ref="Q51:T51"/>
    <mergeCell ref="S52:T52"/>
    <mergeCell ref="S53:T53"/>
    <mergeCell ref="R69:T69"/>
    <mergeCell ref="Q73:T73"/>
    <mergeCell ref="S229:T229"/>
    <mergeCell ref="S228:T228"/>
    <mergeCell ref="Q227:T227"/>
    <mergeCell ref="R245:T245"/>
    <mergeCell ref="Q249:T249"/>
    <mergeCell ref="S163:T163"/>
    <mergeCell ref="S250:T250"/>
    <mergeCell ref="M1:N1"/>
    <mergeCell ref="Q162:R162"/>
    <mergeCell ref="Q163:R163"/>
    <mergeCell ref="Q184:R184"/>
    <mergeCell ref="Q185:R185"/>
    <mergeCell ref="Q9:R9"/>
    <mergeCell ref="Q30:R30"/>
    <mergeCell ref="Q31:R31"/>
    <mergeCell ref="Q52:R52"/>
    <mergeCell ref="Q53:R53"/>
    <mergeCell ref="Q97:R97"/>
    <mergeCell ref="Q74:R74"/>
    <mergeCell ref="Q75:R75"/>
    <mergeCell ref="Q96:R96"/>
    <mergeCell ref="Q7:T7"/>
    <mergeCell ref="S8:T8"/>
    <mergeCell ref="S74:T74"/>
    <mergeCell ref="R267:T267"/>
    <mergeCell ref="R157:T157"/>
    <mergeCell ref="Q117:T117"/>
    <mergeCell ref="R135:T135"/>
    <mergeCell ref="Q161:T161"/>
    <mergeCell ref="R179:T179"/>
    <mergeCell ref="Q183:T183"/>
    <mergeCell ref="R201:T201"/>
    <mergeCell ref="Q205:T205"/>
    <mergeCell ref="R223:T223"/>
    <mergeCell ref="S141:T141"/>
    <mergeCell ref="S140:T140"/>
    <mergeCell ref="S119:T119"/>
    <mergeCell ref="S118:T118"/>
    <mergeCell ref="Q139:T139"/>
    <mergeCell ref="Q118:R118"/>
    <mergeCell ref="Q119:R119"/>
    <mergeCell ref="Q140:R140"/>
    <mergeCell ref="Q141:R141"/>
    <mergeCell ref="S184:T184"/>
    <mergeCell ref="S185:T185"/>
    <mergeCell ref="S162:T162"/>
    <mergeCell ref="S251:T251"/>
    <mergeCell ref="S206:T206"/>
  </mergeCells>
  <hyperlinks>
    <hyperlink ref="O100" r:id="rId1" xr:uid="{B6822511-1118-490F-9C77-999C474AE2D5}"/>
    <hyperlink ref="O99" r:id="rId2" xr:uid="{6FEFC1F8-A1D2-4E10-9FD6-A496E7CA445F}"/>
  </hyperlinks>
  <pageMargins left="0" right="0" top="0.39374999999999999" bottom="0.39374999999999999" header="0" footer="0"/>
  <pageSetup fitToWidth="0" fitToHeight="0" pageOrder="overThenDown" orientation="portrait" horizontalDpi="300" verticalDpi="300" r:id="rId3"/>
  <headerFooter>
    <oddHeader>&amp;C&amp;A</oddHeader>
    <oddFooter>&amp;CPage &amp;P</oddFooter>
  </headerFooter>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5A69-A9CF-410F-B654-BB97EDA7E354}">
  <dimension ref="A1:O50"/>
  <sheetViews>
    <sheetView tabSelected="1" zoomScale="130" zoomScaleNormal="130" workbookViewId="0">
      <selection activeCell="E16" sqref="E16"/>
    </sheetView>
  </sheetViews>
  <sheetFormatPr defaultRowHeight="13.8"/>
  <cols>
    <col min="1" max="1" width="9.19921875" bestFit="1" customWidth="1"/>
    <col min="2" max="2" width="7.8984375" bestFit="1" customWidth="1"/>
    <col min="3" max="3" width="8.3984375" bestFit="1" customWidth="1"/>
    <col min="4" max="4" width="8.09765625" bestFit="1" customWidth="1"/>
    <col min="5" max="5" width="8.8984375" bestFit="1" customWidth="1"/>
    <col min="6" max="6" width="19" bestFit="1" customWidth="1"/>
    <col min="7" max="7" width="15.69921875" bestFit="1" customWidth="1"/>
    <col min="8" max="8" width="52.3984375" bestFit="1" customWidth="1"/>
    <col min="9" max="9" width="18.796875" bestFit="1" customWidth="1"/>
    <col min="10" max="10" width="15.296875" bestFit="1" customWidth="1"/>
    <col min="11" max="11" width="15.09765625" bestFit="1" customWidth="1"/>
    <col min="12" max="12" width="6.59765625" bestFit="1" customWidth="1"/>
    <col min="13" max="13" width="7.59765625" bestFit="1" customWidth="1"/>
    <col min="14" max="14" width="8.19921875" bestFit="1" customWidth="1"/>
    <col min="15" max="15" width="14.09765625" bestFit="1" customWidth="1"/>
  </cols>
  <sheetData>
    <row r="1" spans="1:15" ht="21">
      <c r="A1" s="107" t="s">
        <v>87</v>
      </c>
      <c r="B1" s="107"/>
      <c r="C1" s="107"/>
      <c r="D1" s="107"/>
      <c r="E1" s="41" t="s">
        <v>156</v>
      </c>
      <c r="F1" s="42">
        <v>46204</v>
      </c>
      <c r="G1" s="108" t="s">
        <v>89</v>
      </c>
      <c r="H1" s="108"/>
      <c r="I1" s="108"/>
      <c r="L1" t="s">
        <v>85</v>
      </c>
      <c r="M1" t="s">
        <v>96</v>
      </c>
      <c r="N1" t="s">
        <v>68</v>
      </c>
      <c r="O1" t="s">
        <v>110</v>
      </c>
    </row>
    <row r="2" spans="1:15">
      <c r="A2" s="3" t="s">
        <v>90</v>
      </c>
      <c r="B2" s="3" t="s">
        <v>86</v>
      </c>
      <c r="C2" s="3" t="s">
        <v>126</v>
      </c>
      <c r="D2" s="3" t="s">
        <v>88</v>
      </c>
      <c r="E2" s="3" t="s">
        <v>129</v>
      </c>
      <c r="G2" s="3" t="s">
        <v>91</v>
      </c>
      <c r="H2" s="3" t="s">
        <v>120</v>
      </c>
      <c r="I2" s="3" t="s">
        <v>95</v>
      </c>
      <c r="J2" s="3" t="s">
        <v>146</v>
      </c>
      <c r="L2">
        <v>23</v>
      </c>
      <c r="M2">
        <v>15</v>
      </c>
      <c r="N2">
        <v>18</v>
      </c>
      <c r="O2">
        <v>16</v>
      </c>
    </row>
    <row r="3" spans="1:15">
      <c r="A3">
        <v>0</v>
      </c>
      <c r="B3">
        <v>1261</v>
      </c>
      <c r="C3" s="43">
        <f>11574.69-2400</f>
        <v>9174.69</v>
      </c>
      <c r="D3">
        <v>700</v>
      </c>
      <c r="E3">
        <v>0</v>
      </c>
      <c r="F3" s="3" t="s">
        <v>323</v>
      </c>
      <c r="G3">
        <v>62503.12</v>
      </c>
      <c r="H3">
        <f>44.58*60.5</f>
        <v>2697.0899999999997</v>
      </c>
      <c r="I3">
        <v>0</v>
      </c>
      <c r="J3">
        <v>0</v>
      </c>
      <c r="L3" s="40">
        <v>6.99</v>
      </c>
      <c r="M3" s="40">
        <v>20</v>
      </c>
      <c r="N3" s="40">
        <v>10.49</v>
      </c>
      <c r="O3" s="40">
        <v>11300</v>
      </c>
    </row>
    <row r="4" spans="1:15">
      <c r="F4" s="3" t="s">
        <v>121</v>
      </c>
      <c r="G4">
        <v>10</v>
      </c>
      <c r="L4" s="109" t="s">
        <v>155</v>
      </c>
      <c r="M4" s="109"/>
      <c r="N4" s="109"/>
      <c r="O4" s="109"/>
    </row>
    <row r="5" spans="1:15">
      <c r="A5" s="3" t="s">
        <v>29</v>
      </c>
      <c r="B5">
        <f>SUM(A3:E3)</f>
        <v>11135.69</v>
      </c>
      <c r="F5" s="3" t="s">
        <v>127</v>
      </c>
      <c r="G5">
        <v>15</v>
      </c>
      <c r="H5" s="3" t="s">
        <v>29</v>
      </c>
      <c r="I5">
        <f>G3+H3+I3</f>
        <v>65200.21</v>
      </c>
    </row>
    <row r="6" spans="1:15" ht="21">
      <c r="F6" s="32" t="s">
        <v>34</v>
      </c>
    </row>
    <row r="7" spans="1:15" ht="21">
      <c r="F7" s="33">
        <f>B5-I5</f>
        <v>-54064.52</v>
      </c>
    </row>
    <row r="9" spans="1:15">
      <c r="A9" s="3"/>
      <c r="C9" s="3"/>
      <c r="D9" s="3"/>
      <c r="E9" s="3"/>
    </row>
    <row r="11" spans="1:15">
      <c r="I11" s="88"/>
    </row>
    <row r="12" spans="1:15">
      <c r="A12" s="36"/>
      <c r="F12" s="109" t="s">
        <v>324</v>
      </c>
      <c r="G12" s="109"/>
      <c r="H12" s="90" t="s">
        <v>328</v>
      </c>
      <c r="I12" s="88"/>
    </row>
    <row r="13" spans="1:15">
      <c r="A13" s="36"/>
      <c r="G13" t="s">
        <v>307</v>
      </c>
      <c r="H13" t="s">
        <v>329</v>
      </c>
      <c r="I13" s="88" t="s">
        <v>305</v>
      </c>
      <c r="J13" t="s">
        <v>306</v>
      </c>
      <c r="K13" t="s">
        <v>321</v>
      </c>
      <c r="L13" t="s">
        <v>322</v>
      </c>
      <c r="M13" t="s">
        <v>325</v>
      </c>
      <c r="N13" t="s">
        <v>327</v>
      </c>
      <c r="O13" t="s">
        <v>326</v>
      </c>
    </row>
    <row r="14" spans="1:15">
      <c r="F14" t="s">
        <v>302</v>
      </c>
      <c r="G14">
        <f>(44.58*60.5)-SUM(H14:O14)</f>
        <v>2697.0899999999997</v>
      </c>
    </row>
    <row r="15" spans="1:15">
      <c r="F15" t="s">
        <v>303</v>
      </c>
      <c r="G15">
        <f>62503.12-SUM(H15:O15)</f>
        <v>62503.12</v>
      </c>
    </row>
    <row r="16" spans="1:15">
      <c r="F16" t="s">
        <v>304</v>
      </c>
      <c r="G16" s="34">
        <v>46244</v>
      </c>
    </row>
    <row r="17" spans="9:9">
      <c r="I17" s="88"/>
    </row>
    <row r="18" spans="9:9">
      <c r="I18" s="88"/>
    </row>
    <row r="19" spans="9:9">
      <c r="I19" s="88"/>
    </row>
    <row r="20" spans="9:9">
      <c r="I20" s="88"/>
    </row>
    <row r="21" spans="9:9">
      <c r="I21" s="88"/>
    </row>
    <row r="22" spans="9:9">
      <c r="I22" s="88"/>
    </row>
    <row r="23" spans="9:9">
      <c r="I23" s="88"/>
    </row>
    <row r="24" spans="9:9">
      <c r="I24" s="88"/>
    </row>
    <row r="25" spans="9:9">
      <c r="I25" s="88"/>
    </row>
    <row r="26" spans="9:9">
      <c r="I26" s="88"/>
    </row>
    <row r="27" spans="9:9">
      <c r="I27" s="88"/>
    </row>
    <row r="28" spans="9:9">
      <c r="I28" s="88"/>
    </row>
    <row r="29" spans="9:9">
      <c r="I29" s="88"/>
    </row>
    <row r="30" spans="9:9">
      <c r="I30" s="88"/>
    </row>
    <row r="31" spans="9:9">
      <c r="I31" s="88"/>
    </row>
    <row r="32" spans="9:9">
      <c r="I32" s="88"/>
    </row>
    <row r="33" spans="9:9">
      <c r="I33" s="88"/>
    </row>
    <row r="34" spans="9:9">
      <c r="I34" s="88"/>
    </row>
    <row r="35" spans="9:9">
      <c r="I35" s="88"/>
    </row>
    <row r="36" spans="9:9">
      <c r="I36" s="88"/>
    </row>
    <row r="37" spans="9:9">
      <c r="I37" s="88"/>
    </row>
    <row r="38" spans="9:9">
      <c r="I38" s="88"/>
    </row>
    <row r="39" spans="9:9">
      <c r="I39" s="88"/>
    </row>
    <row r="40" spans="9:9">
      <c r="I40" s="88"/>
    </row>
    <row r="41" spans="9:9">
      <c r="I41" s="88"/>
    </row>
    <row r="42" spans="9:9">
      <c r="I42" s="88"/>
    </row>
    <row r="43" spans="9:9">
      <c r="I43" s="88"/>
    </row>
    <row r="44" spans="9:9">
      <c r="I44" s="88"/>
    </row>
    <row r="45" spans="9:9">
      <c r="I45" s="88"/>
    </row>
    <row r="46" spans="9:9">
      <c r="I46" s="88"/>
    </row>
    <row r="47" spans="9:9">
      <c r="I47" s="88"/>
    </row>
    <row r="48" spans="9:9">
      <c r="I48" s="88"/>
    </row>
    <row r="49" spans="9:9">
      <c r="I49" s="88"/>
    </row>
    <row r="50" spans="9:9">
      <c r="I50" s="88"/>
    </row>
  </sheetData>
  <mergeCells count="4">
    <mergeCell ref="A1:D1"/>
    <mergeCell ref="G1:I1"/>
    <mergeCell ref="L4:O4"/>
    <mergeCell ref="F12:G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A7AA7-758F-4DF4-B7D8-D483301BBD91}">
  <dimension ref="A1:H21"/>
  <sheetViews>
    <sheetView workbookViewId="0">
      <selection activeCell="H22" sqref="H22"/>
    </sheetView>
  </sheetViews>
  <sheetFormatPr defaultRowHeight="13.8"/>
  <cols>
    <col min="1" max="1" width="11.69921875" bestFit="1" customWidth="1"/>
    <col min="2" max="2" width="12.09765625" bestFit="1" customWidth="1"/>
    <col min="4" max="4" width="13.69921875" bestFit="1" customWidth="1"/>
    <col min="5" max="5" width="18.19921875" bestFit="1" customWidth="1"/>
    <col min="6" max="6" width="12.796875" bestFit="1" customWidth="1"/>
  </cols>
  <sheetData>
    <row r="1" spans="1:7">
      <c r="A1" t="s">
        <v>113</v>
      </c>
      <c r="B1" t="s">
        <v>118</v>
      </c>
      <c r="C1" t="s">
        <v>114</v>
      </c>
      <c r="D1" t="s">
        <v>115</v>
      </c>
      <c r="E1" t="s">
        <v>117</v>
      </c>
      <c r="F1" t="s">
        <v>116</v>
      </c>
      <c r="G1" t="s">
        <v>308</v>
      </c>
    </row>
    <row r="2" spans="1:7">
      <c r="A2" t="s">
        <v>128</v>
      </c>
      <c r="B2" s="37">
        <v>514965</v>
      </c>
      <c r="C2">
        <v>15.95</v>
      </c>
      <c r="D2" s="37">
        <v>11365.45</v>
      </c>
      <c r="E2" s="34">
        <v>48137</v>
      </c>
      <c r="F2" s="34">
        <v>47042</v>
      </c>
      <c r="G2" t="s">
        <v>309</v>
      </c>
    </row>
    <row r="3" spans="1:7">
      <c r="B3" s="37"/>
      <c r="D3" s="37"/>
    </row>
    <row r="4" spans="1:7">
      <c r="B4" s="37"/>
      <c r="D4" s="37"/>
    </row>
    <row r="21" spans="8:8">
      <c r="H21">
        <v>2885028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A5CBC-6F7D-493B-A065-F9B9442B0511}">
  <dimension ref="A2:N23"/>
  <sheetViews>
    <sheetView workbookViewId="0">
      <selection activeCell="A29" sqref="A29"/>
    </sheetView>
  </sheetViews>
  <sheetFormatPr defaultRowHeight="13.8"/>
  <cols>
    <col min="1" max="1" width="26.69921875" bestFit="1" customWidth="1"/>
    <col min="2" max="2" width="26.69921875" customWidth="1"/>
    <col min="3" max="3" width="16" bestFit="1" customWidth="1"/>
    <col min="4" max="4" width="15" bestFit="1" customWidth="1"/>
    <col min="5" max="5" width="15.8984375" bestFit="1" customWidth="1"/>
    <col min="6" max="6" width="15.69921875" bestFit="1" customWidth="1"/>
    <col min="7" max="7" width="14" customWidth="1"/>
    <col min="8" max="8" width="15.69921875" bestFit="1" customWidth="1"/>
    <col min="9" max="9" width="8.8984375" bestFit="1" customWidth="1"/>
    <col min="10" max="10" width="14.19921875" bestFit="1" customWidth="1"/>
    <col min="11" max="11" width="8.3984375" bestFit="1" customWidth="1"/>
    <col min="12" max="12" width="11.19921875" bestFit="1" customWidth="1"/>
  </cols>
  <sheetData>
    <row r="2" spans="1:12">
      <c r="A2" s="110" t="s">
        <v>164</v>
      </c>
      <c r="B2" s="110"/>
      <c r="C2" s="110"/>
      <c r="D2" s="110"/>
      <c r="E2" s="110"/>
      <c r="F2" s="110"/>
      <c r="G2" s="110"/>
      <c r="H2" s="110"/>
      <c r="I2" s="110"/>
      <c r="J2" s="110"/>
      <c r="K2" s="110"/>
      <c r="L2" s="110"/>
    </row>
    <row r="3" spans="1:12">
      <c r="A3" s="110"/>
      <c r="B3" s="110"/>
      <c r="C3" s="110"/>
      <c r="D3" s="110"/>
      <c r="E3" s="110"/>
      <c r="F3" s="110"/>
      <c r="G3" s="110"/>
      <c r="H3" s="110"/>
      <c r="I3" s="110"/>
      <c r="J3" s="110"/>
      <c r="K3" s="110"/>
      <c r="L3" s="110"/>
    </row>
    <row r="4" spans="1:12">
      <c r="A4" s="110"/>
      <c r="B4" s="110"/>
      <c r="C4" s="110"/>
      <c r="D4" s="110"/>
      <c r="E4" s="110"/>
      <c r="F4" s="110"/>
      <c r="G4" s="110"/>
      <c r="H4" s="110"/>
      <c r="I4" s="110"/>
      <c r="J4" s="110"/>
      <c r="K4" s="110"/>
      <c r="L4" s="110"/>
    </row>
    <row r="5" spans="1:12">
      <c r="A5" s="3" t="s">
        <v>299</v>
      </c>
      <c r="B5" s="89">
        <v>46158</v>
      </c>
      <c r="D5" s="3" t="s">
        <v>300</v>
      </c>
      <c r="E5" s="89">
        <v>46158</v>
      </c>
    </row>
    <row r="6" spans="1:12">
      <c r="A6" t="s">
        <v>165</v>
      </c>
      <c r="B6" s="45">
        <v>20000</v>
      </c>
      <c r="H6" s="3" t="s">
        <v>211</v>
      </c>
      <c r="I6" s="85">
        <v>14</v>
      </c>
    </row>
    <row r="7" spans="1:12">
      <c r="A7" t="s">
        <v>166</v>
      </c>
      <c r="B7" s="45">
        <v>0</v>
      </c>
      <c r="C7">
        <f>700*63</f>
        <v>44100</v>
      </c>
      <c r="H7" s="3" t="s">
        <v>210</v>
      </c>
      <c r="I7" s="3">
        <v>6</v>
      </c>
    </row>
    <row r="8" spans="1:12">
      <c r="A8" t="s">
        <v>212</v>
      </c>
      <c r="B8" s="45">
        <f>948629.68/12</f>
        <v>79052.473333333342</v>
      </c>
    </row>
    <row r="9" spans="1:12">
      <c r="A9" t="s">
        <v>167</v>
      </c>
      <c r="B9" s="45">
        <f>SUM(B6:B8)</f>
        <v>99052.473333333342</v>
      </c>
    </row>
    <row r="10" spans="1:12">
      <c r="A10" t="s">
        <v>170</v>
      </c>
      <c r="B10" s="45">
        <f>B9*0.3</f>
        <v>29715.742000000002</v>
      </c>
      <c r="C10" t="s">
        <v>172</v>
      </c>
      <c r="H10" t="s">
        <v>331</v>
      </c>
    </row>
    <row r="11" spans="1:12">
      <c r="A11" s="44" t="s">
        <v>169</v>
      </c>
      <c r="B11" s="46">
        <v>15930</v>
      </c>
    </row>
    <row r="12" spans="1:12" ht="14.4" customHeight="1">
      <c r="A12" t="s">
        <v>168</v>
      </c>
      <c r="B12" s="46">
        <v>11156</v>
      </c>
    </row>
    <row r="13" spans="1:12" ht="14.4" customHeight="1">
      <c r="A13" t="s">
        <v>171</v>
      </c>
      <c r="B13" s="47">
        <f>B10-B12-B11</f>
        <v>2629.742000000002</v>
      </c>
      <c r="C13" t="s">
        <v>173</v>
      </c>
    </row>
    <row r="14" spans="1:12" ht="14.4" customHeight="1">
      <c r="A14" s="110" t="s">
        <v>209</v>
      </c>
      <c r="B14" s="111">
        <f>PV((I6%)/12,20*12,(B13*-1))</f>
        <v>211475.51184211604</v>
      </c>
    </row>
    <row r="15" spans="1:12">
      <c r="A15" s="110"/>
      <c r="B15" s="112"/>
    </row>
    <row r="16" spans="1:12">
      <c r="D16" t="s">
        <v>208</v>
      </c>
    </row>
    <row r="17" spans="1:14">
      <c r="A17" t="s">
        <v>72</v>
      </c>
      <c r="B17" t="s">
        <v>201</v>
      </c>
      <c r="C17" t="s">
        <v>11</v>
      </c>
      <c r="D17" t="s">
        <v>73</v>
      </c>
      <c r="E17" t="s">
        <v>74</v>
      </c>
      <c r="F17" t="s">
        <v>203</v>
      </c>
      <c r="G17" t="s">
        <v>75</v>
      </c>
      <c r="H17" t="s">
        <v>202</v>
      </c>
      <c r="I17" t="s">
        <v>76</v>
      </c>
      <c r="J17" t="s">
        <v>77</v>
      </c>
      <c r="K17" t="s">
        <v>78</v>
      </c>
      <c r="L17" t="s">
        <v>79</v>
      </c>
      <c r="M17" t="s">
        <v>213</v>
      </c>
      <c r="N17" t="s">
        <v>217</v>
      </c>
    </row>
    <row r="18" spans="1:14">
      <c r="A18" t="s">
        <v>198</v>
      </c>
      <c r="B18" s="84" t="s">
        <v>206</v>
      </c>
      <c r="C18" s="29">
        <f>175000*65</f>
        <v>11375000</v>
      </c>
      <c r="D18" s="29">
        <f>Table3[[#This Row],[Precio]]*0.25</f>
        <v>2843750</v>
      </c>
      <c r="E18" s="29"/>
      <c r="F18" s="29">
        <f>(D18-E18)/I$7</f>
        <v>473958.33333333331</v>
      </c>
      <c r="G18" s="29">
        <f>Table3[[#This Row],[Precio]]-Table3[[#This Row],[Inicial]]</f>
        <v>8531250</v>
      </c>
      <c r="H18" s="29">
        <f>PMT(I$6%/12,20*12,Table3[[#This Row],[Prestamo]])</f>
        <v>-106087.86919144379</v>
      </c>
      <c r="I18" s="30">
        <v>240</v>
      </c>
      <c r="M18" t="s">
        <v>215</v>
      </c>
      <c r="N18" t="s">
        <v>208</v>
      </c>
    </row>
    <row r="19" spans="1:14">
      <c r="A19" t="s">
        <v>200</v>
      </c>
      <c r="B19" s="84" t="s">
        <v>205</v>
      </c>
      <c r="C19" s="29">
        <f>139500*65</f>
        <v>9067500</v>
      </c>
      <c r="D19" s="29">
        <f>Table3[[#This Row],[Precio]]*0.25</f>
        <v>2266875</v>
      </c>
      <c r="F19" s="29">
        <f t="shared" ref="F19:F20" si="0">(D19-E19)/I$7</f>
        <v>377812.5</v>
      </c>
      <c r="G19" s="29">
        <f>Table3[[#This Row],[Precio]]-Table3[[#This Row],[Inicial]]</f>
        <v>6800625</v>
      </c>
      <c r="H19" s="29">
        <f>PMT(I$6%/12,20*12,Table3[[#This Row],[Prestamo]])</f>
        <v>-84567.187155465203</v>
      </c>
      <c r="I19">
        <v>125</v>
      </c>
      <c r="M19" t="s">
        <v>215</v>
      </c>
      <c r="N19" t="s">
        <v>208</v>
      </c>
    </row>
    <row r="20" spans="1:14">
      <c r="A20" t="s">
        <v>204</v>
      </c>
      <c r="B20" s="84" t="s">
        <v>207</v>
      </c>
      <c r="C20" s="29">
        <f>137500*65</f>
        <v>8937500</v>
      </c>
      <c r="D20" s="29">
        <f>Table3[[#This Row],[Precio]]*0.25</f>
        <v>2234375</v>
      </c>
      <c r="F20" s="29">
        <f t="shared" si="0"/>
        <v>372395.83333333331</v>
      </c>
      <c r="G20" s="29">
        <f>Table3[[#This Row],[Precio]]-Table3[[#This Row],[Inicial]]</f>
        <v>6703125</v>
      </c>
      <c r="H20" s="29">
        <f>PMT(I$6%/12,20*12,Table3[[#This Row],[Prestamo]])</f>
        <v>-83354.754364705834</v>
      </c>
      <c r="I20">
        <v>200</v>
      </c>
      <c r="M20" t="s">
        <v>215</v>
      </c>
      <c r="N20" t="s">
        <v>208</v>
      </c>
    </row>
    <row r="21" spans="1:14">
      <c r="A21" t="s">
        <v>199</v>
      </c>
      <c r="B21" s="84" t="s">
        <v>208</v>
      </c>
      <c r="C21" s="29">
        <f>120000*65</f>
        <v>7800000</v>
      </c>
      <c r="D21" s="29">
        <f>Table3[[#This Row],[Precio]]*0.25</f>
        <v>1950000</v>
      </c>
      <c r="F21" s="29">
        <f>(D21-E21)/I$7</f>
        <v>325000</v>
      </c>
      <c r="G21" s="29">
        <f>Table3[[#This Row],[Precio]]-Table3[[#This Row],[Inicial]]</f>
        <v>5850000</v>
      </c>
      <c r="H21" s="29">
        <f>PMT(I$6%/12,20*12,Table3[[#This Row],[Prestamo]])</f>
        <v>-72745.967445561459</v>
      </c>
      <c r="I21">
        <v>96</v>
      </c>
      <c r="M21" t="s">
        <v>215</v>
      </c>
      <c r="N21" t="s">
        <v>208</v>
      </c>
    </row>
    <row r="22" spans="1:14">
      <c r="A22" t="s">
        <v>216</v>
      </c>
      <c r="C22" s="29">
        <f>7000*Table3[[#This Row],[Metros]]</f>
        <v>945000</v>
      </c>
      <c r="D22" s="29">
        <f>Table3[[#This Row],[Precio]]*0.2</f>
        <v>189000</v>
      </c>
      <c r="F22" s="31">
        <f>(D22-E22)/5</f>
        <v>37800</v>
      </c>
      <c r="G22" s="29">
        <f>Table3[[#This Row],[Precio]]-Table3[[#This Row],[Inicial]]</f>
        <v>756000</v>
      </c>
      <c r="H22" s="29">
        <f>PMT(I$6%/12,20*12,Table3[[#This Row],[Prestamo]])</f>
        <v>-9401.017331426403</v>
      </c>
      <c r="I22">
        <v>135</v>
      </c>
      <c r="M22" t="s">
        <v>214</v>
      </c>
      <c r="N22" t="s">
        <v>218</v>
      </c>
    </row>
    <row r="23" spans="1:14">
      <c r="A23" t="s">
        <v>220</v>
      </c>
      <c r="C23" s="29">
        <f>7500*Table3[[#This Row],[Metros]]</f>
        <v>1125000</v>
      </c>
      <c r="D23" s="29">
        <f>Table3[[#This Row],[Precio]]*0.3</f>
        <v>337500</v>
      </c>
      <c r="F23" s="31">
        <f>(D23-E23)/5</f>
        <v>67500</v>
      </c>
      <c r="G23" s="29">
        <f>Table3[[#This Row],[Precio]]-Table3[[#This Row],[Inicial]]</f>
        <v>787500</v>
      </c>
      <c r="H23" s="29">
        <f>PMT(I$6%/12,10*12,Table3[[#This Row],[Prestamo]])</f>
        <v>-12227.231759472012</v>
      </c>
      <c r="I23">
        <v>150</v>
      </c>
      <c r="M23" t="s">
        <v>219</v>
      </c>
      <c r="N23" t="s">
        <v>221</v>
      </c>
    </row>
  </sheetData>
  <mergeCells count="3">
    <mergeCell ref="A2:L4"/>
    <mergeCell ref="A14:A15"/>
    <mergeCell ref="B14:B15"/>
  </mergeCells>
  <phoneticPr fontId="37" type="noConversion"/>
  <conditionalFormatting sqref="H18:H23">
    <cfRule type="cellIs" dxfId="3" priority="3" operator="greaterThan">
      <formula>$B$10</formula>
    </cfRule>
    <cfRule type="cellIs" dxfId="2" priority="4" operator="lessThan">
      <formula>$B$10</formula>
    </cfRule>
  </conditionalFormatting>
  <pageMargins left="0.7" right="0.7" top="0.75" bottom="0.75" header="0.3" footer="0.3"/>
  <pageSetup orientation="portrait" r:id="rId1"/>
  <ignoredErrors>
    <ignoredError sqref="C19:C21 F22" calculatedColumn="1"/>
  </ignoredErrors>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83DB4-B244-47F8-8E69-69BA4FEBD141}">
  <sheetPr>
    <pageSetUpPr fitToPage="1"/>
  </sheetPr>
  <dimension ref="A1:P389"/>
  <sheetViews>
    <sheetView showGridLines="0" zoomScale="115" zoomScaleNormal="115" workbookViewId="0">
      <pane ySplit="17" topLeftCell="A18" activePane="bottomLeft" state="frozenSplit"/>
      <selection pane="bottomLeft" activeCell="D11" sqref="D11"/>
    </sheetView>
  </sheetViews>
  <sheetFormatPr defaultColWidth="9" defaultRowHeight="13.2"/>
  <cols>
    <col min="1" max="1" width="4.59765625" style="83" customWidth="1"/>
    <col min="2" max="2" width="13.09765625" style="83" bestFit="1" customWidth="1"/>
    <col min="3" max="3" width="11.8984375" style="83" customWidth="1"/>
    <col min="4" max="4" width="12.8984375" style="83" customWidth="1"/>
    <col min="5" max="5" width="11.19921875" style="83" customWidth="1"/>
    <col min="6" max="6" width="11.5" style="83" customWidth="1"/>
    <col min="7" max="8" width="11.3984375" style="83" customWidth="1"/>
    <col min="9" max="9" width="13.5" style="83" customWidth="1"/>
    <col min="10" max="12" width="9" style="48"/>
    <col min="13" max="13" width="8.8984375" style="48" bestFit="1" customWidth="1"/>
    <col min="14" max="256" width="9" style="48"/>
    <col min="257" max="257" width="4.59765625" style="48" customWidth="1"/>
    <col min="258" max="258" width="12.59765625" style="48" customWidth="1"/>
    <col min="259" max="259" width="11.8984375" style="48" customWidth="1"/>
    <col min="260" max="260" width="12.8984375" style="48" customWidth="1"/>
    <col min="261" max="261" width="11.19921875" style="48" customWidth="1"/>
    <col min="262" max="262" width="11.5" style="48" customWidth="1"/>
    <col min="263" max="264" width="11.3984375" style="48" customWidth="1"/>
    <col min="265" max="265" width="13.5" style="48" customWidth="1"/>
    <col min="266" max="512" width="9" style="48"/>
    <col min="513" max="513" width="4.59765625" style="48" customWidth="1"/>
    <col min="514" max="514" width="12.59765625" style="48" customWidth="1"/>
    <col min="515" max="515" width="11.8984375" style="48" customWidth="1"/>
    <col min="516" max="516" width="12.8984375" style="48" customWidth="1"/>
    <col min="517" max="517" width="11.19921875" style="48" customWidth="1"/>
    <col min="518" max="518" width="11.5" style="48" customWidth="1"/>
    <col min="519" max="520" width="11.3984375" style="48" customWidth="1"/>
    <col min="521" max="521" width="13.5" style="48" customWidth="1"/>
    <col min="522" max="768" width="9" style="48"/>
    <col min="769" max="769" width="4.59765625" style="48" customWidth="1"/>
    <col min="770" max="770" width="12.59765625" style="48" customWidth="1"/>
    <col min="771" max="771" width="11.8984375" style="48" customWidth="1"/>
    <col min="772" max="772" width="12.8984375" style="48" customWidth="1"/>
    <col min="773" max="773" width="11.19921875" style="48" customWidth="1"/>
    <col min="774" max="774" width="11.5" style="48" customWidth="1"/>
    <col min="775" max="776" width="11.3984375" style="48" customWidth="1"/>
    <col min="777" max="777" width="13.5" style="48" customWidth="1"/>
    <col min="778" max="1024" width="9" style="48"/>
    <col min="1025" max="1025" width="4.59765625" style="48" customWidth="1"/>
    <col min="1026" max="1026" width="12.59765625" style="48" customWidth="1"/>
    <col min="1027" max="1027" width="11.8984375" style="48" customWidth="1"/>
    <col min="1028" max="1028" width="12.8984375" style="48" customWidth="1"/>
    <col min="1029" max="1029" width="11.19921875" style="48" customWidth="1"/>
    <col min="1030" max="1030" width="11.5" style="48" customWidth="1"/>
    <col min="1031" max="1032" width="11.3984375" style="48" customWidth="1"/>
    <col min="1033" max="1033" width="13.5" style="48" customWidth="1"/>
    <col min="1034" max="1280" width="9" style="48"/>
    <col min="1281" max="1281" width="4.59765625" style="48" customWidth="1"/>
    <col min="1282" max="1282" width="12.59765625" style="48" customWidth="1"/>
    <col min="1283" max="1283" width="11.8984375" style="48" customWidth="1"/>
    <col min="1284" max="1284" width="12.8984375" style="48" customWidth="1"/>
    <col min="1285" max="1285" width="11.19921875" style="48" customWidth="1"/>
    <col min="1286" max="1286" width="11.5" style="48" customWidth="1"/>
    <col min="1287" max="1288" width="11.3984375" style="48" customWidth="1"/>
    <col min="1289" max="1289" width="13.5" style="48" customWidth="1"/>
    <col min="1290" max="1536" width="9" style="48"/>
    <col min="1537" max="1537" width="4.59765625" style="48" customWidth="1"/>
    <col min="1538" max="1538" width="12.59765625" style="48" customWidth="1"/>
    <col min="1539" max="1539" width="11.8984375" style="48" customWidth="1"/>
    <col min="1540" max="1540" width="12.8984375" style="48" customWidth="1"/>
    <col min="1541" max="1541" width="11.19921875" style="48" customWidth="1"/>
    <col min="1542" max="1542" width="11.5" style="48" customWidth="1"/>
    <col min="1543" max="1544" width="11.3984375" style="48" customWidth="1"/>
    <col min="1545" max="1545" width="13.5" style="48" customWidth="1"/>
    <col min="1546" max="1792" width="9" style="48"/>
    <col min="1793" max="1793" width="4.59765625" style="48" customWidth="1"/>
    <col min="1794" max="1794" width="12.59765625" style="48" customWidth="1"/>
    <col min="1795" max="1795" width="11.8984375" style="48" customWidth="1"/>
    <col min="1796" max="1796" width="12.8984375" style="48" customWidth="1"/>
    <col min="1797" max="1797" width="11.19921875" style="48" customWidth="1"/>
    <col min="1798" max="1798" width="11.5" style="48" customWidth="1"/>
    <col min="1799" max="1800" width="11.3984375" style="48" customWidth="1"/>
    <col min="1801" max="1801" width="13.5" style="48" customWidth="1"/>
    <col min="1802" max="2048" width="9" style="48"/>
    <col min="2049" max="2049" width="4.59765625" style="48" customWidth="1"/>
    <col min="2050" max="2050" width="12.59765625" style="48" customWidth="1"/>
    <col min="2051" max="2051" width="11.8984375" style="48" customWidth="1"/>
    <col min="2052" max="2052" width="12.8984375" style="48" customWidth="1"/>
    <col min="2053" max="2053" width="11.19921875" style="48" customWidth="1"/>
    <col min="2054" max="2054" width="11.5" style="48" customWidth="1"/>
    <col min="2055" max="2056" width="11.3984375" style="48" customWidth="1"/>
    <col min="2057" max="2057" width="13.5" style="48" customWidth="1"/>
    <col min="2058" max="2304" width="9" style="48"/>
    <col min="2305" max="2305" width="4.59765625" style="48" customWidth="1"/>
    <col min="2306" max="2306" width="12.59765625" style="48" customWidth="1"/>
    <col min="2307" max="2307" width="11.8984375" style="48" customWidth="1"/>
    <col min="2308" max="2308" width="12.8984375" style="48" customWidth="1"/>
    <col min="2309" max="2309" width="11.19921875" style="48" customWidth="1"/>
    <col min="2310" max="2310" width="11.5" style="48" customWidth="1"/>
    <col min="2311" max="2312" width="11.3984375" style="48" customWidth="1"/>
    <col min="2313" max="2313" width="13.5" style="48" customWidth="1"/>
    <col min="2314" max="2560" width="9" style="48"/>
    <col min="2561" max="2561" width="4.59765625" style="48" customWidth="1"/>
    <col min="2562" max="2562" width="12.59765625" style="48" customWidth="1"/>
    <col min="2563" max="2563" width="11.8984375" style="48" customWidth="1"/>
    <col min="2564" max="2564" width="12.8984375" style="48" customWidth="1"/>
    <col min="2565" max="2565" width="11.19921875" style="48" customWidth="1"/>
    <col min="2566" max="2566" width="11.5" style="48" customWidth="1"/>
    <col min="2567" max="2568" width="11.3984375" style="48" customWidth="1"/>
    <col min="2569" max="2569" width="13.5" style="48" customWidth="1"/>
    <col min="2570" max="2816" width="9" style="48"/>
    <col min="2817" max="2817" width="4.59765625" style="48" customWidth="1"/>
    <col min="2818" max="2818" width="12.59765625" style="48" customWidth="1"/>
    <col min="2819" max="2819" width="11.8984375" style="48" customWidth="1"/>
    <col min="2820" max="2820" width="12.8984375" style="48" customWidth="1"/>
    <col min="2821" max="2821" width="11.19921875" style="48" customWidth="1"/>
    <col min="2822" max="2822" width="11.5" style="48" customWidth="1"/>
    <col min="2823" max="2824" width="11.3984375" style="48" customWidth="1"/>
    <col min="2825" max="2825" width="13.5" style="48" customWidth="1"/>
    <col min="2826" max="3072" width="9" style="48"/>
    <col min="3073" max="3073" width="4.59765625" style="48" customWidth="1"/>
    <col min="3074" max="3074" width="12.59765625" style="48" customWidth="1"/>
    <col min="3075" max="3075" width="11.8984375" style="48" customWidth="1"/>
    <col min="3076" max="3076" width="12.8984375" style="48" customWidth="1"/>
    <col min="3077" max="3077" width="11.19921875" style="48" customWidth="1"/>
    <col min="3078" max="3078" width="11.5" style="48" customWidth="1"/>
    <col min="3079" max="3080" width="11.3984375" style="48" customWidth="1"/>
    <col min="3081" max="3081" width="13.5" style="48" customWidth="1"/>
    <col min="3082" max="3328" width="9" style="48"/>
    <col min="3329" max="3329" width="4.59765625" style="48" customWidth="1"/>
    <col min="3330" max="3330" width="12.59765625" style="48" customWidth="1"/>
    <col min="3331" max="3331" width="11.8984375" style="48" customWidth="1"/>
    <col min="3332" max="3332" width="12.8984375" style="48" customWidth="1"/>
    <col min="3333" max="3333" width="11.19921875" style="48" customWidth="1"/>
    <col min="3334" max="3334" width="11.5" style="48" customWidth="1"/>
    <col min="3335" max="3336" width="11.3984375" style="48" customWidth="1"/>
    <col min="3337" max="3337" width="13.5" style="48" customWidth="1"/>
    <col min="3338" max="3584" width="9" style="48"/>
    <col min="3585" max="3585" width="4.59765625" style="48" customWidth="1"/>
    <col min="3586" max="3586" width="12.59765625" style="48" customWidth="1"/>
    <col min="3587" max="3587" width="11.8984375" style="48" customWidth="1"/>
    <col min="3588" max="3588" width="12.8984375" style="48" customWidth="1"/>
    <col min="3589" max="3589" width="11.19921875" style="48" customWidth="1"/>
    <col min="3590" max="3590" width="11.5" style="48" customWidth="1"/>
    <col min="3591" max="3592" width="11.3984375" style="48" customWidth="1"/>
    <col min="3593" max="3593" width="13.5" style="48" customWidth="1"/>
    <col min="3594" max="3840" width="9" style="48"/>
    <col min="3841" max="3841" width="4.59765625" style="48" customWidth="1"/>
    <col min="3842" max="3842" width="12.59765625" style="48" customWidth="1"/>
    <col min="3843" max="3843" width="11.8984375" style="48" customWidth="1"/>
    <col min="3844" max="3844" width="12.8984375" style="48" customWidth="1"/>
    <col min="3845" max="3845" width="11.19921875" style="48" customWidth="1"/>
    <col min="3846" max="3846" width="11.5" style="48" customWidth="1"/>
    <col min="3847" max="3848" width="11.3984375" style="48" customWidth="1"/>
    <col min="3849" max="3849" width="13.5" style="48" customWidth="1"/>
    <col min="3850" max="4096" width="9" style="48"/>
    <col min="4097" max="4097" width="4.59765625" style="48" customWidth="1"/>
    <col min="4098" max="4098" width="12.59765625" style="48" customWidth="1"/>
    <col min="4099" max="4099" width="11.8984375" style="48" customWidth="1"/>
    <col min="4100" max="4100" width="12.8984375" style="48" customWidth="1"/>
    <col min="4101" max="4101" width="11.19921875" style="48" customWidth="1"/>
    <col min="4102" max="4102" width="11.5" style="48" customWidth="1"/>
    <col min="4103" max="4104" width="11.3984375" style="48" customWidth="1"/>
    <col min="4105" max="4105" width="13.5" style="48" customWidth="1"/>
    <col min="4106" max="4352" width="9" style="48"/>
    <col min="4353" max="4353" width="4.59765625" style="48" customWidth="1"/>
    <col min="4354" max="4354" width="12.59765625" style="48" customWidth="1"/>
    <col min="4355" max="4355" width="11.8984375" style="48" customWidth="1"/>
    <col min="4356" max="4356" width="12.8984375" style="48" customWidth="1"/>
    <col min="4357" max="4357" width="11.19921875" style="48" customWidth="1"/>
    <col min="4358" max="4358" width="11.5" style="48" customWidth="1"/>
    <col min="4359" max="4360" width="11.3984375" style="48" customWidth="1"/>
    <col min="4361" max="4361" width="13.5" style="48" customWidth="1"/>
    <col min="4362" max="4608" width="9" style="48"/>
    <col min="4609" max="4609" width="4.59765625" style="48" customWidth="1"/>
    <col min="4610" max="4610" width="12.59765625" style="48" customWidth="1"/>
    <col min="4611" max="4611" width="11.8984375" style="48" customWidth="1"/>
    <col min="4612" max="4612" width="12.8984375" style="48" customWidth="1"/>
    <col min="4613" max="4613" width="11.19921875" style="48" customWidth="1"/>
    <col min="4614" max="4614" width="11.5" style="48" customWidth="1"/>
    <col min="4615" max="4616" width="11.3984375" style="48" customWidth="1"/>
    <col min="4617" max="4617" width="13.5" style="48" customWidth="1"/>
    <col min="4618" max="4864" width="9" style="48"/>
    <col min="4865" max="4865" width="4.59765625" style="48" customWidth="1"/>
    <col min="4866" max="4866" width="12.59765625" style="48" customWidth="1"/>
    <col min="4867" max="4867" width="11.8984375" style="48" customWidth="1"/>
    <col min="4868" max="4868" width="12.8984375" style="48" customWidth="1"/>
    <col min="4869" max="4869" width="11.19921875" style="48" customWidth="1"/>
    <col min="4870" max="4870" width="11.5" style="48" customWidth="1"/>
    <col min="4871" max="4872" width="11.3984375" style="48" customWidth="1"/>
    <col min="4873" max="4873" width="13.5" style="48" customWidth="1"/>
    <col min="4874" max="5120" width="9" style="48"/>
    <col min="5121" max="5121" width="4.59765625" style="48" customWidth="1"/>
    <col min="5122" max="5122" width="12.59765625" style="48" customWidth="1"/>
    <col min="5123" max="5123" width="11.8984375" style="48" customWidth="1"/>
    <col min="5124" max="5124" width="12.8984375" style="48" customWidth="1"/>
    <col min="5125" max="5125" width="11.19921875" style="48" customWidth="1"/>
    <col min="5126" max="5126" width="11.5" style="48" customWidth="1"/>
    <col min="5127" max="5128" width="11.3984375" style="48" customWidth="1"/>
    <col min="5129" max="5129" width="13.5" style="48" customWidth="1"/>
    <col min="5130" max="5376" width="9" style="48"/>
    <col min="5377" max="5377" width="4.59765625" style="48" customWidth="1"/>
    <col min="5378" max="5378" width="12.59765625" style="48" customWidth="1"/>
    <col min="5379" max="5379" width="11.8984375" style="48" customWidth="1"/>
    <col min="5380" max="5380" width="12.8984375" style="48" customWidth="1"/>
    <col min="5381" max="5381" width="11.19921875" style="48" customWidth="1"/>
    <col min="5382" max="5382" width="11.5" style="48" customWidth="1"/>
    <col min="5383" max="5384" width="11.3984375" style="48" customWidth="1"/>
    <col min="5385" max="5385" width="13.5" style="48" customWidth="1"/>
    <col min="5386" max="5632" width="9" style="48"/>
    <col min="5633" max="5633" width="4.59765625" style="48" customWidth="1"/>
    <col min="5634" max="5634" width="12.59765625" style="48" customWidth="1"/>
    <col min="5635" max="5635" width="11.8984375" style="48" customWidth="1"/>
    <col min="5636" max="5636" width="12.8984375" style="48" customWidth="1"/>
    <col min="5637" max="5637" width="11.19921875" style="48" customWidth="1"/>
    <col min="5638" max="5638" width="11.5" style="48" customWidth="1"/>
    <col min="5639" max="5640" width="11.3984375" style="48" customWidth="1"/>
    <col min="5641" max="5641" width="13.5" style="48" customWidth="1"/>
    <col min="5642" max="5888" width="9" style="48"/>
    <col min="5889" max="5889" width="4.59765625" style="48" customWidth="1"/>
    <col min="5890" max="5890" width="12.59765625" style="48" customWidth="1"/>
    <col min="5891" max="5891" width="11.8984375" style="48" customWidth="1"/>
    <col min="5892" max="5892" width="12.8984375" style="48" customWidth="1"/>
    <col min="5893" max="5893" width="11.19921875" style="48" customWidth="1"/>
    <col min="5894" max="5894" width="11.5" style="48" customWidth="1"/>
    <col min="5895" max="5896" width="11.3984375" style="48" customWidth="1"/>
    <col min="5897" max="5897" width="13.5" style="48" customWidth="1"/>
    <col min="5898" max="6144" width="9" style="48"/>
    <col min="6145" max="6145" width="4.59765625" style="48" customWidth="1"/>
    <col min="6146" max="6146" width="12.59765625" style="48" customWidth="1"/>
    <col min="6147" max="6147" width="11.8984375" style="48" customWidth="1"/>
    <col min="6148" max="6148" width="12.8984375" style="48" customWidth="1"/>
    <col min="6149" max="6149" width="11.19921875" style="48" customWidth="1"/>
    <col min="6150" max="6150" width="11.5" style="48" customWidth="1"/>
    <col min="6151" max="6152" width="11.3984375" style="48" customWidth="1"/>
    <col min="6153" max="6153" width="13.5" style="48" customWidth="1"/>
    <col min="6154" max="6400" width="9" style="48"/>
    <col min="6401" max="6401" width="4.59765625" style="48" customWidth="1"/>
    <col min="6402" max="6402" width="12.59765625" style="48" customWidth="1"/>
    <col min="6403" max="6403" width="11.8984375" style="48" customWidth="1"/>
    <col min="6404" max="6404" width="12.8984375" style="48" customWidth="1"/>
    <col min="6405" max="6405" width="11.19921875" style="48" customWidth="1"/>
    <col min="6406" max="6406" width="11.5" style="48" customWidth="1"/>
    <col min="6407" max="6408" width="11.3984375" style="48" customWidth="1"/>
    <col min="6409" max="6409" width="13.5" style="48" customWidth="1"/>
    <col min="6410" max="6656" width="9" style="48"/>
    <col min="6657" max="6657" width="4.59765625" style="48" customWidth="1"/>
    <col min="6658" max="6658" width="12.59765625" style="48" customWidth="1"/>
    <col min="6659" max="6659" width="11.8984375" style="48" customWidth="1"/>
    <col min="6660" max="6660" width="12.8984375" style="48" customWidth="1"/>
    <col min="6661" max="6661" width="11.19921875" style="48" customWidth="1"/>
    <col min="6662" max="6662" width="11.5" style="48" customWidth="1"/>
    <col min="6663" max="6664" width="11.3984375" style="48" customWidth="1"/>
    <col min="6665" max="6665" width="13.5" style="48" customWidth="1"/>
    <col min="6666" max="6912" width="9" style="48"/>
    <col min="6913" max="6913" width="4.59765625" style="48" customWidth="1"/>
    <col min="6914" max="6914" width="12.59765625" style="48" customWidth="1"/>
    <col min="6915" max="6915" width="11.8984375" style="48" customWidth="1"/>
    <col min="6916" max="6916" width="12.8984375" style="48" customWidth="1"/>
    <col min="6917" max="6917" width="11.19921875" style="48" customWidth="1"/>
    <col min="6918" max="6918" width="11.5" style="48" customWidth="1"/>
    <col min="6919" max="6920" width="11.3984375" style="48" customWidth="1"/>
    <col min="6921" max="6921" width="13.5" style="48" customWidth="1"/>
    <col min="6922" max="7168" width="9" style="48"/>
    <col min="7169" max="7169" width="4.59765625" style="48" customWidth="1"/>
    <col min="7170" max="7170" width="12.59765625" style="48" customWidth="1"/>
    <col min="7171" max="7171" width="11.8984375" style="48" customWidth="1"/>
    <col min="7172" max="7172" width="12.8984375" style="48" customWidth="1"/>
    <col min="7173" max="7173" width="11.19921875" style="48" customWidth="1"/>
    <col min="7174" max="7174" width="11.5" style="48" customWidth="1"/>
    <col min="7175" max="7176" width="11.3984375" style="48" customWidth="1"/>
    <col min="7177" max="7177" width="13.5" style="48" customWidth="1"/>
    <col min="7178" max="7424" width="9" style="48"/>
    <col min="7425" max="7425" width="4.59765625" style="48" customWidth="1"/>
    <col min="7426" max="7426" width="12.59765625" style="48" customWidth="1"/>
    <col min="7427" max="7427" width="11.8984375" style="48" customWidth="1"/>
    <col min="7428" max="7428" width="12.8984375" style="48" customWidth="1"/>
    <col min="7429" max="7429" width="11.19921875" style="48" customWidth="1"/>
    <col min="7430" max="7430" width="11.5" style="48" customWidth="1"/>
    <col min="7431" max="7432" width="11.3984375" style="48" customWidth="1"/>
    <col min="7433" max="7433" width="13.5" style="48" customWidth="1"/>
    <col min="7434" max="7680" width="9" style="48"/>
    <col min="7681" max="7681" width="4.59765625" style="48" customWidth="1"/>
    <col min="7682" max="7682" width="12.59765625" style="48" customWidth="1"/>
    <col min="7683" max="7683" width="11.8984375" style="48" customWidth="1"/>
    <col min="7684" max="7684" width="12.8984375" style="48" customWidth="1"/>
    <col min="7685" max="7685" width="11.19921875" style="48" customWidth="1"/>
    <col min="7686" max="7686" width="11.5" style="48" customWidth="1"/>
    <col min="7687" max="7688" width="11.3984375" style="48" customWidth="1"/>
    <col min="7689" max="7689" width="13.5" style="48" customWidth="1"/>
    <col min="7690" max="7936" width="9" style="48"/>
    <col min="7937" max="7937" width="4.59765625" style="48" customWidth="1"/>
    <col min="7938" max="7938" width="12.59765625" style="48" customWidth="1"/>
    <col min="7939" max="7939" width="11.8984375" style="48" customWidth="1"/>
    <col min="7940" max="7940" width="12.8984375" style="48" customWidth="1"/>
    <col min="7941" max="7941" width="11.19921875" style="48" customWidth="1"/>
    <col min="7942" max="7942" width="11.5" style="48" customWidth="1"/>
    <col min="7943" max="7944" width="11.3984375" style="48" customWidth="1"/>
    <col min="7945" max="7945" width="13.5" style="48" customWidth="1"/>
    <col min="7946" max="8192" width="9" style="48"/>
    <col min="8193" max="8193" width="4.59765625" style="48" customWidth="1"/>
    <col min="8194" max="8194" width="12.59765625" style="48" customWidth="1"/>
    <col min="8195" max="8195" width="11.8984375" style="48" customWidth="1"/>
    <col min="8196" max="8196" width="12.8984375" style="48" customWidth="1"/>
    <col min="8197" max="8197" width="11.19921875" style="48" customWidth="1"/>
    <col min="8198" max="8198" width="11.5" style="48" customWidth="1"/>
    <col min="8199" max="8200" width="11.3984375" style="48" customWidth="1"/>
    <col min="8201" max="8201" width="13.5" style="48" customWidth="1"/>
    <col min="8202" max="8448" width="9" style="48"/>
    <col min="8449" max="8449" width="4.59765625" style="48" customWidth="1"/>
    <col min="8450" max="8450" width="12.59765625" style="48" customWidth="1"/>
    <col min="8451" max="8451" width="11.8984375" style="48" customWidth="1"/>
    <col min="8452" max="8452" width="12.8984375" style="48" customWidth="1"/>
    <col min="8453" max="8453" width="11.19921875" style="48" customWidth="1"/>
    <col min="8454" max="8454" width="11.5" style="48" customWidth="1"/>
    <col min="8455" max="8456" width="11.3984375" style="48" customWidth="1"/>
    <col min="8457" max="8457" width="13.5" style="48" customWidth="1"/>
    <col min="8458" max="8704" width="9" style="48"/>
    <col min="8705" max="8705" width="4.59765625" style="48" customWidth="1"/>
    <col min="8706" max="8706" width="12.59765625" style="48" customWidth="1"/>
    <col min="8707" max="8707" width="11.8984375" style="48" customWidth="1"/>
    <col min="8708" max="8708" width="12.8984375" style="48" customWidth="1"/>
    <col min="8709" max="8709" width="11.19921875" style="48" customWidth="1"/>
    <col min="8710" max="8710" width="11.5" style="48" customWidth="1"/>
    <col min="8711" max="8712" width="11.3984375" style="48" customWidth="1"/>
    <col min="8713" max="8713" width="13.5" style="48" customWidth="1"/>
    <col min="8714" max="8960" width="9" style="48"/>
    <col min="8961" max="8961" width="4.59765625" style="48" customWidth="1"/>
    <col min="8962" max="8962" width="12.59765625" style="48" customWidth="1"/>
    <col min="8963" max="8963" width="11.8984375" style="48" customWidth="1"/>
    <col min="8964" max="8964" width="12.8984375" style="48" customWidth="1"/>
    <col min="8965" max="8965" width="11.19921875" style="48" customWidth="1"/>
    <col min="8966" max="8966" width="11.5" style="48" customWidth="1"/>
    <col min="8967" max="8968" width="11.3984375" style="48" customWidth="1"/>
    <col min="8969" max="8969" width="13.5" style="48" customWidth="1"/>
    <col min="8970" max="9216" width="9" style="48"/>
    <col min="9217" max="9217" width="4.59765625" style="48" customWidth="1"/>
    <col min="9218" max="9218" width="12.59765625" style="48" customWidth="1"/>
    <col min="9219" max="9219" width="11.8984375" style="48" customWidth="1"/>
    <col min="9220" max="9220" width="12.8984375" style="48" customWidth="1"/>
    <col min="9221" max="9221" width="11.19921875" style="48" customWidth="1"/>
    <col min="9222" max="9222" width="11.5" style="48" customWidth="1"/>
    <col min="9223" max="9224" width="11.3984375" style="48" customWidth="1"/>
    <col min="9225" max="9225" width="13.5" style="48" customWidth="1"/>
    <col min="9226" max="9472" width="9" style="48"/>
    <col min="9473" max="9473" width="4.59765625" style="48" customWidth="1"/>
    <col min="9474" max="9474" width="12.59765625" style="48" customWidth="1"/>
    <col min="9475" max="9475" width="11.8984375" style="48" customWidth="1"/>
    <col min="9476" max="9476" width="12.8984375" style="48" customWidth="1"/>
    <col min="9477" max="9477" width="11.19921875" style="48" customWidth="1"/>
    <col min="9478" max="9478" width="11.5" style="48" customWidth="1"/>
    <col min="9479" max="9480" width="11.3984375" style="48" customWidth="1"/>
    <col min="9481" max="9481" width="13.5" style="48" customWidth="1"/>
    <col min="9482" max="9728" width="9" style="48"/>
    <col min="9729" max="9729" width="4.59765625" style="48" customWidth="1"/>
    <col min="9730" max="9730" width="12.59765625" style="48" customWidth="1"/>
    <col min="9731" max="9731" width="11.8984375" style="48" customWidth="1"/>
    <col min="9732" max="9732" width="12.8984375" style="48" customWidth="1"/>
    <col min="9733" max="9733" width="11.19921875" style="48" customWidth="1"/>
    <col min="9734" max="9734" width="11.5" style="48" customWidth="1"/>
    <col min="9735" max="9736" width="11.3984375" style="48" customWidth="1"/>
    <col min="9737" max="9737" width="13.5" style="48" customWidth="1"/>
    <col min="9738" max="9984" width="9" style="48"/>
    <col min="9985" max="9985" width="4.59765625" style="48" customWidth="1"/>
    <col min="9986" max="9986" width="12.59765625" style="48" customWidth="1"/>
    <col min="9987" max="9987" width="11.8984375" style="48" customWidth="1"/>
    <col min="9988" max="9988" width="12.8984375" style="48" customWidth="1"/>
    <col min="9989" max="9989" width="11.19921875" style="48" customWidth="1"/>
    <col min="9990" max="9990" width="11.5" style="48" customWidth="1"/>
    <col min="9991" max="9992" width="11.3984375" style="48" customWidth="1"/>
    <col min="9993" max="9993" width="13.5" style="48" customWidth="1"/>
    <col min="9994" max="10240" width="9" style="48"/>
    <col min="10241" max="10241" width="4.59765625" style="48" customWidth="1"/>
    <col min="10242" max="10242" width="12.59765625" style="48" customWidth="1"/>
    <col min="10243" max="10243" width="11.8984375" style="48" customWidth="1"/>
    <col min="10244" max="10244" width="12.8984375" style="48" customWidth="1"/>
    <col min="10245" max="10245" width="11.19921875" style="48" customWidth="1"/>
    <col min="10246" max="10246" width="11.5" style="48" customWidth="1"/>
    <col min="10247" max="10248" width="11.3984375" style="48" customWidth="1"/>
    <col min="10249" max="10249" width="13.5" style="48" customWidth="1"/>
    <col min="10250" max="10496" width="9" style="48"/>
    <col min="10497" max="10497" width="4.59765625" style="48" customWidth="1"/>
    <col min="10498" max="10498" width="12.59765625" style="48" customWidth="1"/>
    <col min="10499" max="10499" width="11.8984375" style="48" customWidth="1"/>
    <col min="10500" max="10500" width="12.8984375" style="48" customWidth="1"/>
    <col min="10501" max="10501" width="11.19921875" style="48" customWidth="1"/>
    <col min="10502" max="10502" width="11.5" style="48" customWidth="1"/>
    <col min="10503" max="10504" width="11.3984375" style="48" customWidth="1"/>
    <col min="10505" max="10505" width="13.5" style="48" customWidth="1"/>
    <col min="10506" max="10752" width="9" style="48"/>
    <col min="10753" max="10753" width="4.59765625" style="48" customWidth="1"/>
    <col min="10754" max="10754" width="12.59765625" style="48" customWidth="1"/>
    <col min="10755" max="10755" width="11.8984375" style="48" customWidth="1"/>
    <col min="10756" max="10756" width="12.8984375" style="48" customWidth="1"/>
    <col min="10757" max="10757" width="11.19921875" style="48" customWidth="1"/>
    <col min="10758" max="10758" width="11.5" style="48" customWidth="1"/>
    <col min="10759" max="10760" width="11.3984375" style="48" customWidth="1"/>
    <col min="10761" max="10761" width="13.5" style="48" customWidth="1"/>
    <col min="10762" max="11008" width="9" style="48"/>
    <col min="11009" max="11009" width="4.59765625" style="48" customWidth="1"/>
    <col min="11010" max="11010" width="12.59765625" style="48" customWidth="1"/>
    <col min="11011" max="11011" width="11.8984375" style="48" customWidth="1"/>
    <col min="11012" max="11012" width="12.8984375" style="48" customWidth="1"/>
    <col min="11013" max="11013" width="11.19921875" style="48" customWidth="1"/>
    <col min="11014" max="11014" width="11.5" style="48" customWidth="1"/>
    <col min="11015" max="11016" width="11.3984375" style="48" customWidth="1"/>
    <col min="11017" max="11017" width="13.5" style="48" customWidth="1"/>
    <col min="11018" max="11264" width="9" style="48"/>
    <col min="11265" max="11265" width="4.59765625" style="48" customWidth="1"/>
    <col min="11266" max="11266" width="12.59765625" style="48" customWidth="1"/>
    <col min="11267" max="11267" width="11.8984375" style="48" customWidth="1"/>
    <col min="11268" max="11268" width="12.8984375" style="48" customWidth="1"/>
    <col min="11269" max="11269" width="11.19921875" style="48" customWidth="1"/>
    <col min="11270" max="11270" width="11.5" style="48" customWidth="1"/>
    <col min="11271" max="11272" width="11.3984375" style="48" customWidth="1"/>
    <col min="11273" max="11273" width="13.5" style="48" customWidth="1"/>
    <col min="11274" max="11520" width="9" style="48"/>
    <col min="11521" max="11521" width="4.59765625" style="48" customWidth="1"/>
    <col min="11522" max="11522" width="12.59765625" style="48" customWidth="1"/>
    <col min="11523" max="11523" width="11.8984375" style="48" customWidth="1"/>
    <col min="11524" max="11524" width="12.8984375" style="48" customWidth="1"/>
    <col min="11525" max="11525" width="11.19921875" style="48" customWidth="1"/>
    <col min="11526" max="11526" width="11.5" style="48" customWidth="1"/>
    <col min="11527" max="11528" width="11.3984375" style="48" customWidth="1"/>
    <col min="11529" max="11529" width="13.5" style="48" customWidth="1"/>
    <col min="11530" max="11776" width="9" style="48"/>
    <col min="11777" max="11777" width="4.59765625" style="48" customWidth="1"/>
    <col min="11778" max="11778" width="12.59765625" style="48" customWidth="1"/>
    <col min="11779" max="11779" width="11.8984375" style="48" customWidth="1"/>
    <col min="11780" max="11780" width="12.8984375" style="48" customWidth="1"/>
    <col min="11781" max="11781" width="11.19921875" style="48" customWidth="1"/>
    <col min="11782" max="11782" width="11.5" style="48" customWidth="1"/>
    <col min="11783" max="11784" width="11.3984375" style="48" customWidth="1"/>
    <col min="11785" max="11785" width="13.5" style="48" customWidth="1"/>
    <col min="11786" max="12032" width="9" style="48"/>
    <col min="12033" max="12033" width="4.59765625" style="48" customWidth="1"/>
    <col min="12034" max="12034" width="12.59765625" style="48" customWidth="1"/>
    <col min="12035" max="12035" width="11.8984375" style="48" customWidth="1"/>
    <col min="12036" max="12036" width="12.8984375" style="48" customWidth="1"/>
    <col min="12037" max="12037" width="11.19921875" style="48" customWidth="1"/>
    <col min="12038" max="12038" width="11.5" style="48" customWidth="1"/>
    <col min="12039" max="12040" width="11.3984375" style="48" customWidth="1"/>
    <col min="12041" max="12041" width="13.5" style="48" customWidth="1"/>
    <col min="12042" max="12288" width="9" style="48"/>
    <col min="12289" max="12289" width="4.59765625" style="48" customWidth="1"/>
    <col min="12290" max="12290" width="12.59765625" style="48" customWidth="1"/>
    <col min="12291" max="12291" width="11.8984375" style="48" customWidth="1"/>
    <col min="12292" max="12292" width="12.8984375" style="48" customWidth="1"/>
    <col min="12293" max="12293" width="11.19921875" style="48" customWidth="1"/>
    <col min="12294" max="12294" width="11.5" style="48" customWidth="1"/>
    <col min="12295" max="12296" width="11.3984375" style="48" customWidth="1"/>
    <col min="12297" max="12297" width="13.5" style="48" customWidth="1"/>
    <col min="12298" max="12544" width="9" style="48"/>
    <col min="12545" max="12545" width="4.59765625" style="48" customWidth="1"/>
    <col min="12546" max="12546" width="12.59765625" style="48" customWidth="1"/>
    <col min="12547" max="12547" width="11.8984375" style="48" customWidth="1"/>
    <col min="12548" max="12548" width="12.8984375" style="48" customWidth="1"/>
    <col min="12549" max="12549" width="11.19921875" style="48" customWidth="1"/>
    <col min="12550" max="12550" width="11.5" style="48" customWidth="1"/>
    <col min="12551" max="12552" width="11.3984375" style="48" customWidth="1"/>
    <col min="12553" max="12553" width="13.5" style="48" customWidth="1"/>
    <col min="12554" max="12800" width="9" style="48"/>
    <col min="12801" max="12801" width="4.59765625" style="48" customWidth="1"/>
    <col min="12802" max="12802" width="12.59765625" style="48" customWidth="1"/>
    <col min="12803" max="12803" width="11.8984375" style="48" customWidth="1"/>
    <col min="12804" max="12804" width="12.8984375" style="48" customWidth="1"/>
    <col min="12805" max="12805" width="11.19921875" style="48" customWidth="1"/>
    <col min="12806" max="12806" width="11.5" style="48" customWidth="1"/>
    <col min="12807" max="12808" width="11.3984375" style="48" customWidth="1"/>
    <col min="12809" max="12809" width="13.5" style="48" customWidth="1"/>
    <col min="12810" max="13056" width="9" style="48"/>
    <col min="13057" max="13057" width="4.59765625" style="48" customWidth="1"/>
    <col min="13058" max="13058" width="12.59765625" style="48" customWidth="1"/>
    <col min="13059" max="13059" width="11.8984375" style="48" customWidth="1"/>
    <col min="13060" max="13060" width="12.8984375" style="48" customWidth="1"/>
    <col min="13061" max="13061" width="11.19921875" style="48" customWidth="1"/>
    <col min="13062" max="13062" width="11.5" style="48" customWidth="1"/>
    <col min="13063" max="13064" width="11.3984375" style="48" customWidth="1"/>
    <col min="13065" max="13065" width="13.5" style="48" customWidth="1"/>
    <col min="13066" max="13312" width="9" style="48"/>
    <col min="13313" max="13313" width="4.59765625" style="48" customWidth="1"/>
    <col min="13314" max="13314" width="12.59765625" style="48" customWidth="1"/>
    <col min="13315" max="13315" width="11.8984375" style="48" customWidth="1"/>
    <col min="13316" max="13316" width="12.8984375" style="48" customWidth="1"/>
    <col min="13317" max="13317" width="11.19921875" style="48" customWidth="1"/>
    <col min="13318" max="13318" width="11.5" style="48" customWidth="1"/>
    <col min="13319" max="13320" width="11.3984375" style="48" customWidth="1"/>
    <col min="13321" max="13321" width="13.5" style="48" customWidth="1"/>
    <col min="13322" max="13568" width="9" style="48"/>
    <col min="13569" max="13569" width="4.59765625" style="48" customWidth="1"/>
    <col min="13570" max="13570" width="12.59765625" style="48" customWidth="1"/>
    <col min="13571" max="13571" width="11.8984375" style="48" customWidth="1"/>
    <col min="13572" max="13572" width="12.8984375" style="48" customWidth="1"/>
    <col min="13573" max="13573" width="11.19921875" style="48" customWidth="1"/>
    <col min="13574" max="13574" width="11.5" style="48" customWidth="1"/>
    <col min="13575" max="13576" width="11.3984375" style="48" customWidth="1"/>
    <col min="13577" max="13577" width="13.5" style="48" customWidth="1"/>
    <col min="13578" max="13824" width="9" style="48"/>
    <col min="13825" max="13825" width="4.59765625" style="48" customWidth="1"/>
    <col min="13826" max="13826" width="12.59765625" style="48" customWidth="1"/>
    <col min="13827" max="13827" width="11.8984375" style="48" customWidth="1"/>
    <col min="13828" max="13828" width="12.8984375" style="48" customWidth="1"/>
    <col min="13829" max="13829" width="11.19921875" style="48" customWidth="1"/>
    <col min="13830" max="13830" width="11.5" style="48" customWidth="1"/>
    <col min="13831" max="13832" width="11.3984375" style="48" customWidth="1"/>
    <col min="13833" max="13833" width="13.5" style="48" customWidth="1"/>
    <col min="13834" max="14080" width="9" style="48"/>
    <col min="14081" max="14081" width="4.59765625" style="48" customWidth="1"/>
    <col min="14082" max="14082" width="12.59765625" style="48" customWidth="1"/>
    <col min="14083" max="14083" width="11.8984375" style="48" customWidth="1"/>
    <col min="14084" max="14084" width="12.8984375" style="48" customWidth="1"/>
    <col min="14085" max="14085" width="11.19921875" style="48" customWidth="1"/>
    <col min="14086" max="14086" width="11.5" style="48" customWidth="1"/>
    <col min="14087" max="14088" width="11.3984375" style="48" customWidth="1"/>
    <col min="14089" max="14089" width="13.5" style="48" customWidth="1"/>
    <col min="14090" max="14336" width="9" style="48"/>
    <col min="14337" max="14337" width="4.59765625" style="48" customWidth="1"/>
    <col min="14338" max="14338" width="12.59765625" style="48" customWidth="1"/>
    <col min="14339" max="14339" width="11.8984375" style="48" customWidth="1"/>
    <col min="14340" max="14340" width="12.8984375" style="48" customWidth="1"/>
    <col min="14341" max="14341" width="11.19921875" style="48" customWidth="1"/>
    <col min="14342" max="14342" width="11.5" style="48" customWidth="1"/>
    <col min="14343" max="14344" width="11.3984375" style="48" customWidth="1"/>
    <col min="14345" max="14345" width="13.5" style="48" customWidth="1"/>
    <col min="14346" max="14592" width="9" style="48"/>
    <col min="14593" max="14593" width="4.59765625" style="48" customWidth="1"/>
    <col min="14594" max="14594" width="12.59765625" style="48" customWidth="1"/>
    <col min="14595" max="14595" width="11.8984375" style="48" customWidth="1"/>
    <col min="14596" max="14596" width="12.8984375" style="48" customWidth="1"/>
    <col min="14597" max="14597" width="11.19921875" style="48" customWidth="1"/>
    <col min="14598" max="14598" width="11.5" style="48" customWidth="1"/>
    <col min="14599" max="14600" width="11.3984375" style="48" customWidth="1"/>
    <col min="14601" max="14601" width="13.5" style="48" customWidth="1"/>
    <col min="14602" max="14848" width="9" style="48"/>
    <col min="14849" max="14849" width="4.59765625" style="48" customWidth="1"/>
    <col min="14850" max="14850" width="12.59765625" style="48" customWidth="1"/>
    <col min="14851" max="14851" width="11.8984375" style="48" customWidth="1"/>
    <col min="14852" max="14852" width="12.8984375" style="48" customWidth="1"/>
    <col min="14853" max="14853" width="11.19921875" style="48" customWidth="1"/>
    <col min="14854" max="14854" width="11.5" style="48" customWidth="1"/>
    <col min="14855" max="14856" width="11.3984375" style="48" customWidth="1"/>
    <col min="14857" max="14857" width="13.5" style="48" customWidth="1"/>
    <col min="14858" max="15104" width="9" style="48"/>
    <col min="15105" max="15105" width="4.59765625" style="48" customWidth="1"/>
    <col min="15106" max="15106" width="12.59765625" style="48" customWidth="1"/>
    <col min="15107" max="15107" width="11.8984375" style="48" customWidth="1"/>
    <col min="15108" max="15108" width="12.8984375" style="48" customWidth="1"/>
    <col min="15109" max="15109" width="11.19921875" style="48" customWidth="1"/>
    <col min="15110" max="15110" width="11.5" style="48" customWidth="1"/>
    <col min="15111" max="15112" width="11.3984375" style="48" customWidth="1"/>
    <col min="15113" max="15113" width="13.5" style="48" customWidth="1"/>
    <col min="15114" max="15360" width="9" style="48"/>
    <col min="15361" max="15361" width="4.59765625" style="48" customWidth="1"/>
    <col min="15362" max="15362" width="12.59765625" style="48" customWidth="1"/>
    <col min="15363" max="15363" width="11.8984375" style="48" customWidth="1"/>
    <col min="15364" max="15364" width="12.8984375" style="48" customWidth="1"/>
    <col min="15365" max="15365" width="11.19921875" style="48" customWidth="1"/>
    <col min="15366" max="15366" width="11.5" style="48" customWidth="1"/>
    <col min="15367" max="15368" width="11.3984375" style="48" customWidth="1"/>
    <col min="15369" max="15369" width="13.5" style="48" customWidth="1"/>
    <col min="15370" max="15616" width="9" style="48"/>
    <col min="15617" max="15617" width="4.59765625" style="48" customWidth="1"/>
    <col min="15618" max="15618" width="12.59765625" style="48" customWidth="1"/>
    <col min="15619" max="15619" width="11.8984375" style="48" customWidth="1"/>
    <col min="15620" max="15620" width="12.8984375" style="48" customWidth="1"/>
    <col min="15621" max="15621" width="11.19921875" style="48" customWidth="1"/>
    <col min="15622" max="15622" width="11.5" style="48" customWidth="1"/>
    <col min="15623" max="15624" width="11.3984375" style="48" customWidth="1"/>
    <col min="15625" max="15625" width="13.5" style="48" customWidth="1"/>
    <col min="15626" max="15872" width="9" style="48"/>
    <col min="15873" max="15873" width="4.59765625" style="48" customWidth="1"/>
    <col min="15874" max="15874" width="12.59765625" style="48" customWidth="1"/>
    <col min="15875" max="15875" width="11.8984375" style="48" customWidth="1"/>
    <col min="15876" max="15876" width="12.8984375" style="48" customWidth="1"/>
    <col min="15877" max="15877" width="11.19921875" style="48" customWidth="1"/>
    <col min="15878" max="15878" width="11.5" style="48" customWidth="1"/>
    <col min="15879" max="15880" width="11.3984375" style="48" customWidth="1"/>
    <col min="15881" max="15881" width="13.5" style="48" customWidth="1"/>
    <col min="15882" max="16128" width="9" style="48"/>
    <col min="16129" max="16129" width="4.59765625" style="48" customWidth="1"/>
    <col min="16130" max="16130" width="12.59765625" style="48" customWidth="1"/>
    <col min="16131" max="16131" width="11.8984375" style="48" customWidth="1"/>
    <col min="16132" max="16132" width="12.8984375" style="48" customWidth="1"/>
    <col min="16133" max="16133" width="11.19921875" style="48" customWidth="1"/>
    <col min="16134" max="16134" width="11.5" style="48" customWidth="1"/>
    <col min="16135" max="16136" width="11.3984375" style="48" customWidth="1"/>
    <col min="16137" max="16137" width="13.5" style="48" customWidth="1"/>
    <col min="16138" max="16384" width="9" style="48"/>
  </cols>
  <sheetData>
    <row r="1" spans="1:16" ht="33" customHeight="1">
      <c r="A1" s="116" t="s">
        <v>174</v>
      </c>
      <c r="B1" s="116"/>
      <c r="C1" s="116"/>
      <c r="D1" s="116"/>
      <c r="E1" s="116"/>
      <c r="F1" s="116"/>
      <c r="G1" s="116"/>
      <c r="H1" s="116"/>
      <c r="I1" s="116"/>
    </row>
    <row r="2" spans="1:16" ht="4.5" customHeight="1">
      <c r="A2" s="49"/>
      <c r="B2" s="49"/>
      <c r="C2" s="49"/>
      <c r="D2" s="49"/>
      <c r="E2" s="49"/>
      <c r="F2" s="49"/>
      <c r="G2" s="49"/>
      <c r="H2" s="49"/>
      <c r="I2" s="49"/>
    </row>
    <row r="3" spans="1:16" ht="19.5" customHeight="1">
      <c r="A3" s="50"/>
      <c r="B3" s="50"/>
      <c r="C3" s="50"/>
      <c r="D3" s="51" t="s">
        <v>175</v>
      </c>
      <c r="E3" s="52"/>
      <c r="F3" s="53" t="s">
        <v>176</v>
      </c>
      <c r="G3" s="53"/>
      <c r="H3" s="50"/>
      <c r="I3" s="50"/>
    </row>
    <row r="4" spans="1:16">
      <c r="A4" s="113" t="s">
        <v>177</v>
      </c>
      <c r="B4" s="114"/>
      <c r="C4" s="115"/>
      <c r="D4" s="52">
        <v>8531250</v>
      </c>
      <c r="E4" s="54"/>
      <c r="F4" s="117" t="s">
        <v>178</v>
      </c>
      <c r="G4" s="117"/>
      <c r="H4" s="117"/>
      <c r="I4" s="117"/>
    </row>
    <row r="5" spans="1:16">
      <c r="A5" s="113" t="s">
        <v>179</v>
      </c>
      <c r="B5" s="114"/>
      <c r="C5" s="115"/>
      <c r="D5" s="55">
        <v>0.14000000000000001</v>
      </c>
      <c r="E5" s="50"/>
      <c r="F5" s="118" t="s">
        <v>180</v>
      </c>
      <c r="G5" s="118"/>
      <c r="H5" s="118"/>
      <c r="I5" s="118"/>
    </row>
    <row r="6" spans="1:16">
      <c r="A6" s="113" t="s">
        <v>181</v>
      </c>
      <c r="B6" s="114"/>
      <c r="C6" s="115"/>
      <c r="D6" s="57">
        <v>20</v>
      </c>
      <c r="E6" s="50"/>
      <c r="F6" s="56"/>
      <c r="G6" s="50"/>
      <c r="H6" s="50"/>
      <c r="I6" s="50"/>
    </row>
    <row r="7" spans="1:16">
      <c r="A7" s="113" t="s">
        <v>182</v>
      </c>
      <c r="B7" s="114"/>
      <c r="C7" s="115"/>
      <c r="D7" s="58">
        <v>44638</v>
      </c>
      <c r="E7" s="50"/>
      <c r="F7" s="56"/>
      <c r="G7" s="50"/>
      <c r="H7" s="50"/>
      <c r="I7" s="50"/>
    </row>
    <row r="8" spans="1:16">
      <c r="A8" s="113" t="s">
        <v>183</v>
      </c>
      <c r="B8" s="114"/>
      <c r="C8" s="115"/>
      <c r="D8" s="59">
        <v>0</v>
      </c>
      <c r="E8" s="50"/>
      <c r="F8" s="56"/>
      <c r="G8" s="50"/>
      <c r="H8" s="50"/>
      <c r="I8" s="50"/>
    </row>
    <row r="9" spans="1:16">
      <c r="A9" s="60"/>
      <c r="B9" s="60"/>
      <c r="C9" s="60"/>
      <c r="D9" s="61"/>
      <c r="E9" s="60"/>
      <c r="F9" s="61"/>
      <c r="G9" s="61"/>
      <c r="H9" s="60"/>
      <c r="I9" s="60"/>
    </row>
    <row r="10" spans="1:16">
      <c r="A10" s="50"/>
      <c r="B10" s="50"/>
      <c r="C10" s="50"/>
      <c r="D10" s="50"/>
      <c r="E10" s="50"/>
      <c r="F10" s="50"/>
      <c r="G10" s="50"/>
      <c r="H10" s="50"/>
      <c r="I10" s="50"/>
      <c r="M10" s="62"/>
    </row>
    <row r="11" spans="1:16">
      <c r="A11" s="113" t="s">
        <v>184</v>
      </c>
      <c r="B11" s="114"/>
      <c r="C11" s="115"/>
      <c r="D11" s="63">
        <f>IF(Values_Entered,-PMT(Interest_Rate/12,Loan_Years*12,Loan_Amount),"")</f>
        <v>106087.86919144379</v>
      </c>
      <c r="E11" s="50"/>
      <c r="F11" s="64"/>
      <c r="G11" s="64"/>
      <c r="H11" s="50"/>
      <c r="I11" s="50"/>
    </row>
    <row r="12" spans="1:16" ht="14.25" customHeight="1">
      <c r="A12" s="113" t="s">
        <v>185</v>
      </c>
      <c r="B12" s="114"/>
      <c r="C12" s="115"/>
      <c r="D12" s="65">
        <f>IF(Values_Entered,Loan_Years*12,"")</f>
        <v>240</v>
      </c>
      <c r="E12" s="50"/>
      <c r="F12" s="64"/>
      <c r="G12" s="64"/>
      <c r="H12" s="50"/>
      <c r="I12" s="50"/>
    </row>
    <row r="13" spans="1:16">
      <c r="A13" s="113" t="s">
        <v>186</v>
      </c>
      <c r="B13" s="114"/>
      <c r="C13" s="115"/>
      <c r="D13" s="65">
        <f>IF(Values_Entered,Number_of_Payments,"")</f>
        <v>240</v>
      </c>
      <c r="E13" s="50"/>
      <c r="F13" s="50"/>
      <c r="G13" s="50"/>
      <c r="H13" s="50"/>
      <c r="I13" s="50"/>
    </row>
    <row r="14" spans="1:16">
      <c r="A14" s="113" t="s">
        <v>187</v>
      </c>
      <c r="B14" s="114"/>
      <c r="C14" s="115"/>
      <c r="D14" s="66">
        <f>IF(Values_Entered,SUMIF(Beg_Bal,"&gt;0",Extra_Pay),"")</f>
        <v>0</v>
      </c>
      <c r="E14" s="50"/>
      <c r="F14" s="50"/>
      <c r="G14" s="50"/>
      <c r="H14" s="50"/>
      <c r="I14" s="50"/>
    </row>
    <row r="15" spans="1:16">
      <c r="A15" s="113" t="s">
        <v>188</v>
      </c>
      <c r="B15" s="114"/>
      <c r="C15" s="115"/>
      <c r="D15" s="66">
        <f>IF(Values_Entered,SUMIF(Beg_Bal,"&gt;0",Int),"")</f>
        <v>16929838.605946489</v>
      </c>
      <c r="E15" s="67"/>
      <c r="F15" s="67"/>
      <c r="G15" s="67"/>
      <c r="H15" s="67"/>
      <c r="I15" s="50"/>
      <c r="P15" s="68"/>
    </row>
    <row r="16" spans="1:16" ht="15.75" customHeight="1">
      <c r="A16" s="60"/>
      <c r="B16" s="60"/>
      <c r="C16" s="60"/>
      <c r="D16" s="60"/>
      <c r="E16" s="61"/>
      <c r="F16" s="61"/>
      <c r="G16" s="61"/>
      <c r="H16" s="60"/>
      <c r="I16" s="60"/>
    </row>
    <row r="17" spans="1:9" s="70" customFormat="1" ht="28.5" customHeight="1">
      <c r="A17" s="69" t="s">
        <v>189</v>
      </c>
      <c r="B17" s="69" t="s">
        <v>190</v>
      </c>
      <c r="C17" s="69" t="s">
        <v>191</v>
      </c>
      <c r="D17" s="69" t="s">
        <v>192</v>
      </c>
      <c r="E17" s="69" t="s">
        <v>193</v>
      </c>
      <c r="F17" s="69" t="s">
        <v>194</v>
      </c>
      <c r="G17" s="69" t="s">
        <v>195</v>
      </c>
      <c r="H17" s="69" t="s">
        <v>196</v>
      </c>
      <c r="I17" s="69" t="s">
        <v>197</v>
      </c>
    </row>
    <row r="18" spans="1:9" s="70" customFormat="1" ht="15.9" customHeight="1">
      <c r="A18" s="71">
        <f>IF(Values_Entered,1,"")</f>
        <v>1</v>
      </c>
      <c r="B18" s="72">
        <f>IF(Pay_Num&lt;&gt;"",Loan_Start,"")</f>
        <v>44638</v>
      </c>
      <c r="C18" s="73">
        <f>IF(Values_Entered,Loan_Amount,"")</f>
        <v>8531250</v>
      </c>
      <c r="D18" s="73">
        <f t="shared" ref="D18:D81" si="0">IF(Pay_Num&lt;&gt;"",Scheduled_Monthly_Payment,"")</f>
        <v>106087.86919144379</v>
      </c>
      <c r="E18" s="74">
        <f t="shared" ref="E18:E81" si="1">IF(Pay_Num&lt;&gt;"",Scheduled_Extra_Payments,"")</f>
        <v>0</v>
      </c>
      <c r="F18" s="73">
        <f t="shared" ref="F18:F81" si="2">IF(Pay_Num&lt;&gt;"",Sched_Pay+Extra_Pay,"")</f>
        <v>106087.86919144379</v>
      </c>
      <c r="G18" s="73">
        <f t="shared" ref="G18:G81" si="3">IF(Pay_Num&lt;&gt;"",Total_Pay-Int,"")</f>
        <v>6556.619191443795</v>
      </c>
      <c r="H18" s="73">
        <f t="shared" ref="H18:H81" si="4">IF(Pay_Num&lt;&gt;"",Beg_Bal*Interest_Rate/12,"")</f>
        <v>99531.25</v>
      </c>
      <c r="I18" s="73">
        <f t="shared" ref="I18:I81" si="5">IF(Pay_Num&lt;&gt;"",Beg_Bal-Princ,"")</f>
        <v>8524693.3808085565</v>
      </c>
    </row>
    <row r="19" spans="1:9" s="70" customFormat="1" ht="12.75" customHeight="1">
      <c r="A19" s="71">
        <f>IF(Values_Entered,A18+1,"")</f>
        <v>2</v>
      </c>
      <c r="B19" s="72">
        <f t="shared" ref="B19:B82" si="6">IF(Pay_Num&lt;&gt;"",DATE(YEAR(B18),MONTH(B18)+1,DAY(B18)),"")</f>
        <v>44669</v>
      </c>
      <c r="C19" s="73">
        <f t="shared" ref="C19:C82" si="7">IF(Pay_Num&lt;&gt;"",I18,"")</f>
        <v>8524693.3808085565</v>
      </c>
      <c r="D19" s="73">
        <f t="shared" si="0"/>
        <v>106087.86919144379</v>
      </c>
      <c r="E19" s="74">
        <f t="shared" si="1"/>
        <v>0</v>
      </c>
      <c r="F19" s="73">
        <f t="shared" si="2"/>
        <v>106087.86919144379</v>
      </c>
      <c r="G19" s="73">
        <f t="shared" si="3"/>
        <v>6633.1130820106191</v>
      </c>
      <c r="H19" s="73">
        <f t="shared" si="4"/>
        <v>99454.756109433176</v>
      </c>
      <c r="I19" s="73">
        <f t="shared" si="5"/>
        <v>8518060.2677265462</v>
      </c>
    </row>
    <row r="20" spans="1:9" s="70" customFormat="1" ht="12.75" customHeight="1">
      <c r="A20" s="71">
        <f>IF(Values_Entered,A19+1,"")</f>
        <v>3</v>
      </c>
      <c r="B20" s="72">
        <f t="shared" si="6"/>
        <v>44699</v>
      </c>
      <c r="C20" s="73">
        <f t="shared" si="7"/>
        <v>8518060.2677265462</v>
      </c>
      <c r="D20" s="73">
        <f t="shared" si="0"/>
        <v>106087.86919144379</v>
      </c>
      <c r="E20" s="74">
        <f t="shared" si="1"/>
        <v>0</v>
      </c>
      <c r="F20" s="73">
        <f t="shared" si="2"/>
        <v>106087.86919144379</v>
      </c>
      <c r="G20" s="73">
        <f t="shared" si="3"/>
        <v>6710.4994013007527</v>
      </c>
      <c r="H20" s="73">
        <f t="shared" si="4"/>
        <v>99377.369790143042</v>
      </c>
      <c r="I20" s="73">
        <f t="shared" si="5"/>
        <v>8511349.768325245</v>
      </c>
    </row>
    <row r="21" spans="1:9" s="70" customFormat="1" ht="13.8">
      <c r="A21" s="71">
        <f>IF(Values_Entered,A20+1,"")</f>
        <v>4</v>
      </c>
      <c r="B21" s="72">
        <f t="shared" si="6"/>
        <v>44730</v>
      </c>
      <c r="C21" s="73">
        <f t="shared" si="7"/>
        <v>8511349.768325245</v>
      </c>
      <c r="D21" s="73">
        <f t="shared" si="0"/>
        <v>106087.86919144379</v>
      </c>
      <c r="E21" s="74">
        <f t="shared" si="1"/>
        <v>0</v>
      </c>
      <c r="F21" s="73">
        <f t="shared" si="2"/>
        <v>106087.86919144379</v>
      </c>
      <c r="G21" s="73">
        <f t="shared" si="3"/>
        <v>6788.7885609825898</v>
      </c>
      <c r="H21" s="73">
        <f t="shared" si="4"/>
        <v>99299.080630461205</v>
      </c>
      <c r="I21" s="73">
        <f t="shared" si="5"/>
        <v>8504560.9797642622</v>
      </c>
    </row>
    <row r="22" spans="1:9" s="70" customFormat="1" ht="13.8">
      <c r="A22" s="71">
        <f>IF(Values_Entered,A21+1,"")</f>
        <v>5</v>
      </c>
      <c r="B22" s="72">
        <f t="shared" si="6"/>
        <v>44760</v>
      </c>
      <c r="C22" s="73">
        <f t="shared" si="7"/>
        <v>8504560.9797642622</v>
      </c>
      <c r="D22" s="73">
        <f t="shared" si="0"/>
        <v>106087.86919144379</v>
      </c>
      <c r="E22" s="74">
        <f t="shared" si="1"/>
        <v>0</v>
      </c>
      <c r="F22" s="73">
        <f t="shared" si="2"/>
        <v>106087.86919144379</v>
      </c>
      <c r="G22" s="73">
        <f t="shared" si="3"/>
        <v>6867.9910941940616</v>
      </c>
      <c r="H22" s="73">
        <f t="shared" si="4"/>
        <v>99219.878097249733</v>
      </c>
      <c r="I22" s="73">
        <f t="shared" si="5"/>
        <v>8497692.9886700679</v>
      </c>
    </row>
    <row r="23" spans="1:9" ht="13.8">
      <c r="A23" s="71">
        <f>IF(Values_Entered,A22+1,"")</f>
        <v>6</v>
      </c>
      <c r="B23" s="72">
        <f t="shared" si="6"/>
        <v>44791</v>
      </c>
      <c r="C23" s="73">
        <f t="shared" si="7"/>
        <v>8497692.9886700679</v>
      </c>
      <c r="D23" s="73">
        <f t="shared" si="0"/>
        <v>106087.86919144379</v>
      </c>
      <c r="E23" s="74">
        <f t="shared" si="1"/>
        <v>0</v>
      </c>
      <c r="F23" s="73">
        <f t="shared" si="2"/>
        <v>106087.86919144379</v>
      </c>
      <c r="G23" s="73">
        <f t="shared" si="3"/>
        <v>6948.1176569596573</v>
      </c>
      <c r="H23" s="73">
        <f t="shared" si="4"/>
        <v>99139.751534484138</v>
      </c>
      <c r="I23" s="73">
        <f t="shared" si="5"/>
        <v>8490744.8710131086</v>
      </c>
    </row>
    <row r="24" spans="1:9" ht="13.8">
      <c r="A24" s="71">
        <f>IF(Values_Entered,A23+1,"")</f>
        <v>7</v>
      </c>
      <c r="B24" s="72">
        <f t="shared" si="6"/>
        <v>44822</v>
      </c>
      <c r="C24" s="73">
        <f t="shared" si="7"/>
        <v>8490744.8710131086</v>
      </c>
      <c r="D24" s="73">
        <f t="shared" si="0"/>
        <v>106087.86919144379</v>
      </c>
      <c r="E24" s="74">
        <f t="shared" si="1"/>
        <v>0</v>
      </c>
      <c r="F24" s="73">
        <f t="shared" si="2"/>
        <v>106087.86919144379</v>
      </c>
      <c r="G24" s="73">
        <f t="shared" si="3"/>
        <v>7029.1790296241816</v>
      </c>
      <c r="H24" s="73">
        <f t="shared" si="4"/>
        <v>99058.690161819613</v>
      </c>
      <c r="I24" s="73">
        <f t="shared" si="5"/>
        <v>8483715.6919834837</v>
      </c>
    </row>
    <row r="25" spans="1:9" ht="13.8">
      <c r="A25" s="71">
        <f>IF(Values_Entered,A24+1,"")</f>
        <v>8</v>
      </c>
      <c r="B25" s="72">
        <f t="shared" si="6"/>
        <v>44852</v>
      </c>
      <c r="C25" s="73">
        <f t="shared" si="7"/>
        <v>8483715.6919834837</v>
      </c>
      <c r="D25" s="73">
        <f t="shared" si="0"/>
        <v>106087.86919144379</v>
      </c>
      <c r="E25" s="74">
        <f t="shared" si="1"/>
        <v>0</v>
      </c>
      <c r="F25" s="73">
        <f t="shared" si="2"/>
        <v>106087.86919144379</v>
      </c>
      <c r="G25" s="73">
        <f t="shared" si="3"/>
        <v>7111.1861183031288</v>
      </c>
      <c r="H25" s="73">
        <f t="shared" si="4"/>
        <v>98976.683073140666</v>
      </c>
      <c r="I25" s="73">
        <f t="shared" si="5"/>
        <v>8476604.5058651809</v>
      </c>
    </row>
    <row r="26" spans="1:9" ht="13.8">
      <c r="A26" s="71">
        <f>IF(Values_Entered,A25+1,"")</f>
        <v>9</v>
      </c>
      <c r="B26" s="72">
        <f t="shared" si="6"/>
        <v>44883</v>
      </c>
      <c r="C26" s="73">
        <f t="shared" si="7"/>
        <v>8476604.5058651809</v>
      </c>
      <c r="D26" s="73">
        <f t="shared" si="0"/>
        <v>106087.86919144379</v>
      </c>
      <c r="E26" s="74">
        <f t="shared" si="1"/>
        <v>0</v>
      </c>
      <c r="F26" s="73">
        <f t="shared" si="2"/>
        <v>106087.86919144379</v>
      </c>
      <c r="G26" s="73">
        <f t="shared" si="3"/>
        <v>7194.1499563500111</v>
      </c>
      <c r="H26" s="73">
        <f t="shared" si="4"/>
        <v>98893.719235093784</v>
      </c>
      <c r="I26" s="73">
        <f t="shared" si="5"/>
        <v>8469410.3559088316</v>
      </c>
    </row>
    <row r="27" spans="1:9" ht="13.8">
      <c r="A27" s="71">
        <f>IF(Values_Entered,A26+1,"")</f>
        <v>10</v>
      </c>
      <c r="B27" s="72">
        <f t="shared" si="6"/>
        <v>44913</v>
      </c>
      <c r="C27" s="73">
        <f t="shared" si="7"/>
        <v>8469410.3559088316</v>
      </c>
      <c r="D27" s="73">
        <f t="shared" si="0"/>
        <v>106087.86919144379</v>
      </c>
      <c r="E27" s="74">
        <f t="shared" si="1"/>
        <v>0</v>
      </c>
      <c r="F27" s="73">
        <f t="shared" si="2"/>
        <v>106087.86919144379</v>
      </c>
      <c r="G27" s="73">
        <f t="shared" si="3"/>
        <v>7278.0817058407411</v>
      </c>
      <c r="H27" s="73">
        <f t="shared" si="4"/>
        <v>98809.787485603054</v>
      </c>
      <c r="I27" s="73">
        <f t="shared" si="5"/>
        <v>8462132.2742029913</v>
      </c>
    </row>
    <row r="28" spans="1:9" ht="13.8">
      <c r="A28" s="71">
        <f>IF(Values_Entered,A27+1,"")</f>
        <v>11</v>
      </c>
      <c r="B28" s="72">
        <f t="shared" si="6"/>
        <v>44944</v>
      </c>
      <c r="C28" s="73">
        <f t="shared" si="7"/>
        <v>8462132.2742029913</v>
      </c>
      <c r="D28" s="73">
        <f t="shared" si="0"/>
        <v>106087.86919144379</v>
      </c>
      <c r="E28" s="74">
        <f t="shared" si="1"/>
        <v>0</v>
      </c>
      <c r="F28" s="73">
        <f t="shared" si="2"/>
        <v>106087.86919144379</v>
      </c>
      <c r="G28" s="73">
        <f t="shared" si="3"/>
        <v>7362.9926590755495</v>
      </c>
      <c r="H28" s="73">
        <f t="shared" si="4"/>
        <v>98724.876532368246</v>
      </c>
      <c r="I28" s="73">
        <f t="shared" si="5"/>
        <v>8454769.2815439161</v>
      </c>
    </row>
    <row r="29" spans="1:9" ht="13.8">
      <c r="A29" s="71">
        <f>IF(Values_Entered,A28+1,"")</f>
        <v>12</v>
      </c>
      <c r="B29" s="72">
        <f t="shared" si="6"/>
        <v>44975</v>
      </c>
      <c r="C29" s="73">
        <f t="shared" si="7"/>
        <v>8454769.2815439161</v>
      </c>
      <c r="D29" s="73">
        <f t="shared" si="0"/>
        <v>106087.86919144379</v>
      </c>
      <c r="E29" s="74">
        <f t="shared" si="1"/>
        <v>0</v>
      </c>
      <c r="F29" s="73">
        <f t="shared" si="2"/>
        <v>106087.86919144379</v>
      </c>
      <c r="G29" s="73">
        <f t="shared" si="3"/>
        <v>7448.8942400980886</v>
      </c>
      <c r="H29" s="73">
        <f t="shared" si="4"/>
        <v>98638.974951345706</v>
      </c>
      <c r="I29" s="73">
        <f t="shared" si="5"/>
        <v>8447320.387303818</v>
      </c>
    </row>
    <row r="30" spans="1:9" ht="13.8">
      <c r="A30" s="71">
        <f>IF(Values_Entered,A29+1,"")</f>
        <v>13</v>
      </c>
      <c r="B30" s="72">
        <f t="shared" si="6"/>
        <v>45003</v>
      </c>
      <c r="C30" s="73">
        <f t="shared" si="7"/>
        <v>8447320.387303818</v>
      </c>
      <c r="D30" s="73">
        <f t="shared" si="0"/>
        <v>106087.86919144379</v>
      </c>
      <c r="E30" s="74">
        <f t="shared" si="1"/>
        <v>0</v>
      </c>
      <c r="F30" s="73">
        <f t="shared" si="2"/>
        <v>106087.86919144379</v>
      </c>
      <c r="G30" s="73">
        <f t="shared" si="3"/>
        <v>7535.798006232566</v>
      </c>
      <c r="H30" s="73">
        <f t="shared" si="4"/>
        <v>98552.071185211229</v>
      </c>
      <c r="I30" s="73">
        <f t="shared" si="5"/>
        <v>8439784.5892975852</v>
      </c>
    </row>
    <row r="31" spans="1:9" ht="13.8">
      <c r="A31" s="71">
        <f>IF(Values_Entered,A30+1,"")</f>
        <v>14</v>
      </c>
      <c r="B31" s="72">
        <f t="shared" si="6"/>
        <v>45034</v>
      </c>
      <c r="C31" s="73">
        <f t="shared" si="7"/>
        <v>8439784.5892975852</v>
      </c>
      <c r="D31" s="73">
        <f t="shared" si="0"/>
        <v>106087.86919144379</v>
      </c>
      <c r="E31" s="74">
        <f t="shared" si="1"/>
        <v>0</v>
      </c>
      <c r="F31" s="73">
        <f t="shared" si="2"/>
        <v>106087.86919144379</v>
      </c>
      <c r="G31" s="73">
        <f t="shared" si="3"/>
        <v>7623.7156496386306</v>
      </c>
      <c r="H31" s="73">
        <f t="shared" si="4"/>
        <v>98464.153541805164</v>
      </c>
      <c r="I31" s="73">
        <f t="shared" si="5"/>
        <v>8432160.8736479469</v>
      </c>
    </row>
    <row r="32" spans="1:9" ht="13.8">
      <c r="A32" s="71">
        <f>IF(Values_Entered,A31+1,"")</f>
        <v>15</v>
      </c>
      <c r="B32" s="72">
        <f t="shared" si="6"/>
        <v>45064</v>
      </c>
      <c r="C32" s="73">
        <f t="shared" si="7"/>
        <v>8432160.8736479469</v>
      </c>
      <c r="D32" s="73">
        <f t="shared" si="0"/>
        <v>106087.86919144379</v>
      </c>
      <c r="E32" s="74">
        <f t="shared" si="1"/>
        <v>0</v>
      </c>
      <c r="F32" s="73">
        <f t="shared" si="2"/>
        <v>106087.86919144379</v>
      </c>
      <c r="G32" s="73">
        <f t="shared" si="3"/>
        <v>7712.6589988844062</v>
      </c>
      <c r="H32" s="73">
        <f t="shared" si="4"/>
        <v>98375.210192559389</v>
      </c>
      <c r="I32" s="73">
        <f t="shared" si="5"/>
        <v>8424448.2146490626</v>
      </c>
    </row>
    <row r="33" spans="1:9" ht="13.8">
      <c r="A33" s="71">
        <f>IF(Values_Entered,A32+1,"")</f>
        <v>16</v>
      </c>
      <c r="B33" s="72">
        <f t="shared" si="6"/>
        <v>45095</v>
      </c>
      <c r="C33" s="73">
        <f t="shared" si="7"/>
        <v>8424448.2146490626</v>
      </c>
      <c r="D33" s="73">
        <f t="shared" si="0"/>
        <v>106087.86919144379</v>
      </c>
      <c r="E33" s="74">
        <f t="shared" si="1"/>
        <v>0</v>
      </c>
      <c r="F33" s="73">
        <f t="shared" si="2"/>
        <v>106087.86919144379</v>
      </c>
      <c r="G33" s="73">
        <f t="shared" si="3"/>
        <v>7802.6400205380633</v>
      </c>
      <c r="H33" s="73">
        <f t="shared" si="4"/>
        <v>98285.229170905732</v>
      </c>
      <c r="I33" s="73">
        <f t="shared" si="5"/>
        <v>8416645.5746285245</v>
      </c>
    </row>
    <row r="34" spans="1:9" ht="13.8">
      <c r="A34" s="71">
        <f>IF(Values_Entered,A33+1,"")</f>
        <v>17</v>
      </c>
      <c r="B34" s="72">
        <f t="shared" si="6"/>
        <v>45125</v>
      </c>
      <c r="C34" s="73">
        <f t="shared" si="7"/>
        <v>8416645.5746285245</v>
      </c>
      <c r="D34" s="73">
        <f t="shared" si="0"/>
        <v>106087.86919144379</v>
      </c>
      <c r="E34" s="74">
        <f t="shared" si="1"/>
        <v>0</v>
      </c>
      <c r="F34" s="73">
        <f t="shared" si="2"/>
        <v>106087.86919144379</v>
      </c>
      <c r="G34" s="73">
        <f t="shared" si="3"/>
        <v>7893.6708207776683</v>
      </c>
      <c r="H34" s="73">
        <f t="shared" si="4"/>
        <v>98194.198370666127</v>
      </c>
      <c r="I34" s="73">
        <f t="shared" si="5"/>
        <v>8408751.9038077462</v>
      </c>
    </row>
    <row r="35" spans="1:9" ht="13.8">
      <c r="A35" s="71">
        <f>IF(Values_Entered,A34+1,"")</f>
        <v>18</v>
      </c>
      <c r="B35" s="72">
        <f t="shared" si="6"/>
        <v>45156</v>
      </c>
      <c r="C35" s="73">
        <f t="shared" si="7"/>
        <v>8408751.9038077462</v>
      </c>
      <c r="D35" s="73">
        <f t="shared" si="0"/>
        <v>106087.86919144379</v>
      </c>
      <c r="E35" s="74">
        <f t="shared" si="1"/>
        <v>0</v>
      </c>
      <c r="F35" s="73">
        <f t="shared" si="2"/>
        <v>106087.86919144379</v>
      </c>
      <c r="G35" s="73">
        <f t="shared" si="3"/>
        <v>7985.7636470200669</v>
      </c>
      <c r="H35" s="73">
        <f t="shared" si="4"/>
        <v>98102.105544423728</v>
      </c>
      <c r="I35" s="73">
        <f t="shared" si="5"/>
        <v>8400766.1401607264</v>
      </c>
    </row>
    <row r="36" spans="1:9" ht="13.8">
      <c r="A36" s="71">
        <f>IF(Values_Entered,A35+1,"")</f>
        <v>19</v>
      </c>
      <c r="B36" s="72">
        <f t="shared" si="6"/>
        <v>45187</v>
      </c>
      <c r="C36" s="73">
        <f t="shared" si="7"/>
        <v>8400766.1401607264</v>
      </c>
      <c r="D36" s="73">
        <f t="shared" si="0"/>
        <v>106087.86919144379</v>
      </c>
      <c r="E36" s="74">
        <f t="shared" si="1"/>
        <v>0</v>
      </c>
      <c r="F36" s="73">
        <f t="shared" si="2"/>
        <v>106087.86919144379</v>
      </c>
      <c r="G36" s="73">
        <f t="shared" si="3"/>
        <v>8078.9308895686409</v>
      </c>
      <c r="H36" s="73">
        <f t="shared" si="4"/>
        <v>98008.938301875154</v>
      </c>
      <c r="I36" s="73">
        <f t="shared" si="5"/>
        <v>8392687.2092711572</v>
      </c>
    </row>
    <row r="37" spans="1:9" ht="13.8">
      <c r="A37" s="71">
        <f>IF(Values_Entered,A36+1,"")</f>
        <v>20</v>
      </c>
      <c r="B37" s="72">
        <f t="shared" si="6"/>
        <v>45217</v>
      </c>
      <c r="C37" s="73">
        <f t="shared" si="7"/>
        <v>8392687.2092711572</v>
      </c>
      <c r="D37" s="73">
        <f t="shared" si="0"/>
        <v>106087.86919144379</v>
      </c>
      <c r="E37" s="74">
        <f t="shared" si="1"/>
        <v>0</v>
      </c>
      <c r="F37" s="73">
        <f t="shared" si="2"/>
        <v>106087.86919144379</v>
      </c>
      <c r="G37" s="73">
        <f t="shared" si="3"/>
        <v>8173.1850832802884</v>
      </c>
      <c r="H37" s="73">
        <f t="shared" si="4"/>
        <v>97914.684108163507</v>
      </c>
      <c r="I37" s="73">
        <f t="shared" si="5"/>
        <v>8384514.0241878768</v>
      </c>
    </row>
    <row r="38" spans="1:9" ht="13.8">
      <c r="A38" s="71">
        <f>IF(Values_Entered,A37+1,"")</f>
        <v>21</v>
      </c>
      <c r="B38" s="72">
        <f t="shared" si="6"/>
        <v>45248</v>
      </c>
      <c r="C38" s="73">
        <f t="shared" si="7"/>
        <v>8384514.0241878768</v>
      </c>
      <c r="D38" s="73">
        <f t="shared" si="0"/>
        <v>106087.86919144379</v>
      </c>
      <c r="E38" s="74">
        <f t="shared" si="1"/>
        <v>0</v>
      </c>
      <c r="F38" s="73">
        <f t="shared" si="2"/>
        <v>106087.86919144379</v>
      </c>
      <c r="G38" s="73">
        <f t="shared" si="3"/>
        <v>8268.538909251889</v>
      </c>
      <c r="H38" s="73">
        <f t="shared" si="4"/>
        <v>97819.330282191906</v>
      </c>
      <c r="I38" s="73">
        <f t="shared" si="5"/>
        <v>8376245.485278625</v>
      </c>
    </row>
    <row r="39" spans="1:9" ht="13.8">
      <c r="A39" s="71">
        <f>IF(Values_Entered,A38+1,"")</f>
        <v>22</v>
      </c>
      <c r="B39" s="72">
        <f t="shared" si="6"/>
        <v>45278</v>
      </c>
      <c r="C39" s="73">
        <f t="shared" si="7"/>
        <v>8376245.485278625</v>
      </c>
      <c r="D39" s="73">
        <f t="shared" si="0"/>
        <v>106087.86919144379</v>
      </c>
      <c r="E39" s="74">
        <f t="shared" si="1"/>
        <v>0</v>
      </c>
      <c r="F39" s="73">
        <f t="shared" si="2"/>
        <v>106087.86919144379</v>
      </c>
      <c r="G39" s="73">
        <f t="shared" si="3"/>
        <v>8365.0051965264865</v>
      </c>
      <c r="H39" s="73">
        <f t="shared" si="4"/>
        <v>97722.863994917308</v>
      </c>
      <c r="I39" s="73">
        <f t="shared" si="5"/>
        <v>8367880.4800820984</v>
      </c>
    </row>
    <row r="40" spans="1:9" ht="13.8">
      <c r="A40" s="71">
        <f>IF(Values_Entered,A39+1,"")</f>
        <v>23</v>
      </c>
      <c r="B40" s="72">
        <f t="shared" si="6"/>
        <v>45309</v>
      </c>
      <c r="C40" s="73">
        <f t="shared" si="7"/>
        <v>8367880.4800820984</v>
      </c>
      <c r="D40" s="73">
        <f t="shared" si="0"/>
        <v>106087.86919144379</v>
      </c>
      <c r="E40" s="74">
        <f t="shared" si="1"/>
        <v>0</v>
      </c>
      <c r="F40" s="73">
        <f t="shared" si="2"/>
        <v>106087.86919144379</v>
      </c>
      <c r="G40" s="73">
        <f t="shared" si="3"/>
        <v>8462.5969238193065</v>
      </c>
      <c r="H40" s="73">
        <f t="shared" si="4"/>
        <v>97625.272267624488</v>
      </c>
      <c r="I40" s="73">
        <f t="shared" si="5"/>
        <v>8359417.8831582787</v>
      </c>
    </row>
    <row r="41" spans="1:9" ht="13.8">
      <c r="A41" s="71">
        <f>IF(Values_Entered,A40+1,"")</f>
        <v>24</v>
      </c>
      <c r="B41" s="72">
        <f t="shared" si="6"/>
        <v>45340</v>
      </c>
      <c r="C41" s="73">
        <f t="shared" si="7"/>
        <v>8359417.8831582787</v>
      </c>
      <c r="D41" s="73">
        <f t="shared" si="0"/>
        <v>106087.86919144379</v>
      </c>
      <c r="E41" s="74">
        <f t="shared" si="1"/>
        <v>0</v>
      </c>
      <c r="F41" s="73">
        <f t="shared" si="2"/>
        <v>106087.86919144379</v>
      </c>
      <c r="G41" s="73">
        <f t="shared" si="3"/>
        <v>8561.3272212638694</v>
      </c>
      <c r="H41" s="73">
        <f t="shared" si="4"/>
        <v>97526.541970179926</v>
      </c>
      <c r="I41" s="73">
        <f t="shared" si="5"/>
        <v>8350856.5559370145</v>
      </c>
    </row>
    <row r="42" spans="1:9" ht="13.8">
      <c r="A42" s="71">
        <f>IF(Values_Entered,A41+1,"")</f>
        <v>25</v>
      </c>
      <c r="B42" s="72">
        <f t="shared" si="6"/>
        <v>45369</v>
      </c>
      <c r="C42" s="73">
        <f t="shared" si="7"/>
        <v>8350856.5559370145</v>
      </c>
      <c r="D42" s="73">
        <f t="shared" si="0"/>
        <v>106087.86919144379</v>
      </c>
      <c r="E42" s="74">
        <f t="shared" si="1"/>
        <v>0</v>
      </c>
      <c r="F42" s="73">
        <f t="shared" si="2"/>
        <v>106087.86919144379</v>
      </c>
      <c r="G42" s="73">
        <f t="shared" si="3"/>
        <v>8661.2093721786077</v>
      </c>
      <c r="H42" s="73">
        <f t="shared" si="4"/>
        <v>97426.659819265187</v>
      </c>
      <c r="I42" s="73">
        <f t="shared" si="5"/>
        <v>8342195.3465648359</v>
      </c>
    </row>
    <row r="43" spans="1:9" ht="13.8">
      <c r="A43" s="71">
        <f>IF(Values_Entered,A42+1,"")</f>
        <v>26</v>
      </c>
      <c r="B43" s="72">
        <f t="shared" si="6"/>
        <v>45400</v>
      </c>
      <c r="C43" s="73">
        <f t="shared" si="7"/>
        <v>8342195.3465648359</v>
      </c>
      <c r="D43" s="73">
        <f t="shared" si="0"/>
        <v>106087.86919144379</v>
      </c>
      <c r="E43" s="74">
        <v>0</v>
      </c>
      <c r="F43" s="73">
        <f t="shared" si="2"/>
        <v>106087.86919144379</v>
      </c>
      <c r="G43" s="73">
        <f t="shared" si="3"/>
        <v>8762.2568148540449</v>
      </c>
      <c r="H43" s="73">
        <f t="shared" si="4"/>
        <v>97325.61237658975</v>
      </c>
      <c r="I43" s="73">
        <f t="shared" si="5"/>
        <v>8333433.0897499816</v>
      </c>
    </row>
    <row r="44" spans="1:9" ht="13.8">
      <c r="A44" s="71">
        <f>IF(Values_Entered,A43+1,"")</f>
        <v>27</v>
      </c>
      <c r="B44" s="72">
        <f t="shared" si="6"/>
        <v>45430</v>
      </c>
      <c r="C44" s="73">
        <f t="shared" si="7"/>
        <v>8333433.0897499816</v>
      </c>
      <c r="D44" s="73">
        <f t="shared" si="0"/>
        <v>106087.86919144379</v>
      </c>
      <c r="E44" s="74">
        <f t="shared" si="1"/>
        <v>0</v>
      </c>
      <c r="F44" s="73">
        <f t="shared" si="2"/>
        <v>106087.86919144379</v>
      </c>
      <c r="G44" s="73">
        <f t="shared" si="3"/>
        <v>8864.4831443606672</v>
      </c>
      <c r="H44" s="73">
        <f t="shared" si="4"/>
        <v>97223.386047083128</v>
      </c>
      <c r="I44" s="73">
        <f t="shared" si="5"/>
        <v>8324568.6066056211</v>
      </c>
    </row>
    <row r="45" spans="1:9" ht="13.8">
      <c r="A45" s="71">
        <f>IF(Values_Entered,A44+1,"")</f>
        <v>28</v>
      </c>
      <c r="B45" s="72">
        <f t="shared" si="6"/>
        <v>45461</v>
      </c>
      <c r="C45" s="73">
        <f t="shared" si="7"/>
        <v>8324568.6066056211</v>
      </c>
      <c r="D45" s="73">
        <f t="shared" si="0"/>
        <v>106087.86919144379</v>
      </c>
      <c r="E45" s="74">
        <f t="shared" si="1"/>
        <v>0</v>
      </c>
      <c r="F45" s="73">
        <f t="shared" si="2"/>
        <v>106087.86919144379</v>
      </c>
      <c r="G45" s="73">
        <f t="shared" si="3"/>
        <v>8967.9021143782011</v>
      </c>
      <c r="H45" s="73">
        <f t="shared" si="4"/>
        <v>97119.967077065594</v>
      </c>
      <c r="I45" s="73">
        <f t="shared" si="5"/>
        <v>8315600.7044912428</v>
      </c>
    </row>
    <row r="46" spans="1:9" ht="13.8">
      <c r="A46" s="71">
        <f>IF(Values_Entered,A45+1,"")</f>
        <v>29</v>
      </c>
      <c r="B46" s="72">
        <f t="shared" si="6"/>
        <v>45491</v>
      </c>
      <c r="C46" s="73">
        <f t="shared" si="7"/>
        <v>8315600.7044912428</v>
      </c>
      <c r="D46" s="73">
        <f t="shared" si="0"/>
        <v>106087.86919144379</v>
      </c>
      <c r="E46" s="74">
        <f t="shared" si="1"/>
        <v>0</v>
      </c>
      <c r="F46" s="73">
        <f t="shared" si="2"/>
        <v>106087.86919144379</v>
      </c>
      <c r="G46" s="73">
        <f t="shared" si="3"/>
        <v>9072.5276390459621</v>
      </c>
      <c r="H46" s="73">
        <f t="shared" si="4"/>
        <v>97015.341552397833</v>
      </c>
      <c r="I46" s="73">
        <f t="shared" si="5"/>
        <v>8306528.1768521965</v>
      </c>
    </row>
    <row r="47" spans="1:9" ht="13.8">
      <c r="A47" s="71">
        <f>IF(Values_Entered,A46+1,"")</f>
        <v>30</v>
      </c>
      <c r="B47" s="72">
        <f t="shared" si="6"/>
        <v>45522</v>
      </c>
      <c r="C47" s="73">
        <f t="shared" si="7"/>
        <v>8306528.1768521965</v>
      </c>
      <c r="D47" s="73">
        <f t="shared" si="0"/>
        <v>106087.86919144379</v>
      </c>
      <c r="E47" s="74">
        <f t="shared" si="1"/>
        <v>0</v>
      </c>
      <c r="F47" s="73">
        <f t="shared" si="2"/>
        <v>106087.86919144379</v>
      </c>
      <c r="G47" s="73">
        <f t="shared" si="3"/>
        <v>9178.373794834828</v>
      </c>
      <c r="H47" s="73">
        <f t="shared" si="4"/>
        <v>96909.495396608967</v>
      </c>
      <c r="I47" s="73">
        <f t="shared" si="5"/>
        <v>8297349.8030573614</v>
      </c>
    </row>
    <row r="48" spans="1:9" ht="13.8">
      <c r="A48" s="71">
        <f>IF(Values_Entered,A47+1,"")</f>
        <v>31</v>
      </c>
      <c r="B48" s="72">
        <f t="shared" si="6"/>
        <v>45553</v>
      </c>
      <c r="C48" s="73">
        <f t="shared" si="7"/>
        <v>8297349.8030573614</v>
      </c>
      <c r="D48" s="73">
        <f t="shared" si="0"/>
        <v>106087.86919144379</v>
      </c>
      <c r="E48" s="74">
        <f t="shared" si="1"/>
        <v>0</v>
      </c>
      <c r="F48" s="73">
        <f t="shared" si="2"/>
        <v>106087.86919144379</v>
      </c>
      <c r="G48" s="73">
        <f t="shared" si="3"/>
        <v>9285.4548224412283</v>
      </c>
      <c r="H48" s="73">
        <f t="shared" si="4"/>
        <v>96802.414369002567</v>
      </c>
      <c r="I48" s="73">
        <f t="shared" si="5"/>
        <v>8288064.3482349198</v>
      </c>
    </row>
    <row r="49" spans="1:9" ht="13.8">
      <c r="A49" s="71">
        <f>IF(Values_Entered,A48+1,"")</f>
        <v>32</v>
      </c>
      <c r="B49" s="72">
        <f t="shared" si="6"/>
        <v>45583</v>
      </c>
      <c r="C49" s="73">
        <f t="shared" si="7"/>
        <v>8288064.3482349198</v>
      </c>
      <c r="D49" s="73">
        <f t="shared" si="0"/>
        <v>106087.86919144379</v>
      </c>
      <c r="E49" s="74">
        <f t="shared" si="1"/>
        <v>0</v>
      </c>
      <c r="F49" s="73">
        <f t="shared" si="2"/>
        <v>106087.86919144379</v>
      </c>
      <c r="G49" s="73">
        <f t="shared" si="3"/>
        <v>9393.7851287030498</v>
      </c>
      <c r="H49" s="73">
        <f t="shared" si="4"/>
        <v>96694.084062740745</v>
      </c>
      <c r="I49" s="73">
        <f t="shared" si="5"/>
        <v>8278670.5631062165</v>
      </c>
    </row>
    <row r="50" spans="1:9" ht="13.8">
      <c r="A50" s="71">
        <f>IF(Values_Entered,A49+1,"")</f>
        <v>33</v>
      </c>
      <c r="B50" s="72">
        <f t="shared" si="6"/>
        <v>45614</v>
      </c>
      <c r="C50" s="73">
        <f t="shared" si="7"/>
        <v>8278670.5631062165</v>
      </c>
      <c r="D50" s="73">
        <f t="shared" si="0"/>
        <v>106087.86919144379</v>
      </c>
      <c r="E50" s="74">
        <f t="shared" si="1"/>
        <v>0</v>
      </c>
      <c r="F50" s="73">
        <f t="shared" si="2"/>
        <v>106087.86919144379</v>
      </c>
      <c r="G50" s="73">
        <f t="shared" si="3"/>
        <v>9503.3792885379225</v>
      </c>
      <c r="H50" s="73">
        <f t="shared" si="4"/>
        <v>96584.489902905872</v>
      </c>
      <c r="I50" s="73">
        <f t="shared" si="5"/>
        <v>8269167.1838176781</v>
      </c>
    </row>
    <row r="51" spans="1:9" ht="13.8">
      <c r="A51" s="71">
        <f>IF(Values_Entered,A50+1,"")</f>
        <v>34</v>
      </c>
      <c r="B51" s="72">
        <f t="shared" si="6"/>
        <v>45644</v>
      </c>
      <c r="C51" s="73">
        <f t="shared" si="7"/>
        <v>8269167.1838176781</v>
      </c>
      <c r="D51" s="73">
        <f t="shared" si="0"/>
        <v>106087.86919144379</v>
      </c>
      <c r="E51" s="74">
        <f t="shared" si="1"/>
        <v>0</v>
      </c>
      <c r="F51" s="73">
        <f t="shared" si="2"/>
        <v>106087.86919144379</v>
      </c>
      <c r="G51" s="73">
        <f t="shared" si="3"/>
        <v>9614.2520469042065</v>
      </c>
      <c r="H51" s="73">
        <f t="shared" si="4"/>
        <v>96473.617144539588</v>
      </c>
      <c r="I51" s="73">
        <f t="shared" si="5"/>
        <v>8259552.9317707736</v>
      </c>
    </row>
    <row r="52" spans="1:9" ht="13.8">
      <c r="A52" s="71">
        <f>IF(Values_Entered,A51+1,"")</f>
        <v>35</v>
      </c>
      <c r="B52" s="72">
        <f t="shared" si="6"/>
        <v>45675</v>
      </c>
      <c r="C52" s="73">
        <f t="shared" si="7"/>
        <v>8259552.9317707736</v>
      </c>
      <c r="D52" s="73">
        <f t="shared" si="0"/>
        <v>106087.86919144379</v>
      </c>
      <c r="E52" s="74">
        <f t="shared" si="1"/>
        <v>0</v>
      </c>
      <c r="F52" s="73">
        <f t="shared" si="2"/>
        <v>106087.86919144379</v>
      </c>
      <c r="G52" s="73">
        <f t="shared" si="3"/>
        <v>9726.4183207847673</v>
      </c>
      <c r="H52" s="73">
        <f t="shared" si="4"/>
        <v>96361.450870659028</v>
      </c>
      <c r="I52" s="73">
        <f t="shared" si="5"/>
        <v>8249826.5134499893</v>
      </c>
    </row>
    <row r="53" spans="1:9" ht="13.8">
      <c r="A53" s="71">
        <f>IF(Values_Entered,A52+1,"")</f>
        <v>36</v>
      </c>
      <c r="B53" s="72">
        <f t="shared" si="6"/>
        <v>45706</v>
      </c>
      <c r="C53" s="73">
        <f t="shared" si="7"/>
        <v>8249826.5134499893</v>
      </c>
      <c r="D53" s="73">
        <f t="shared" si="0"/>
        <v>106087.86919144379</v>
      </c>
      <c r="E53" s="74">
        <f t="shared" si="1"/>
        <v>0</v>
      </c>
      <c r="F53" s="73">
        <f t="shared" si="2"/>
        <v>106087.86919144379</v>
      </c>
      <c r="G53" s="73">
        <f t="shared" si="3"/>
        <v>9839.8932011939032</v>
      </c>
      <c r="H53" s="73">
        <f t="shared" si="4"/>
        <v>96247.975990249892</v>
      </c>
      <c r="I53" s="73">
        <f t="shared" si="5"/>
        <v>8239986.6202487955</v>
      </c>
    </row>
    <row r="54" spans="1:9" ht="13.8">
      <c r="A54" s="71">
        <f>IF(Values_Entered,A53+1,"")</f>
        <v>37</v>
      </c>
      <c r="B54" s="72">
        <f t="shared" si="6"/>
        <v>45734</v>
      </c>
      <c r="C54" s="73">
        <f t="shared" si="7"/>
        <v>8239986.6202487955</v>
      </c>
      <c r="D54" s="73">
        <f t="shared" si="0"/>
        <v>106087.86919144379</v>
      </c>
      <c r="E54" s="74">
        <f t="shared" si="1"/>
        <v>0</v>
      </c>
      <c r="F54" s="73">
        <f t="shared" si="2"/>
        <v>106087.86919144379</v>
      </c>
      <c r="G54" s="73">
        <f t="shared" si="3"/>
        <v>9954.6919552078471</v>
      </c>
      <c r="H54" s="73">
        <f t="shared" si="4"/>
        <v>96133.177236235948</v>
      </c>
      <c r="I54" s="73">
        <f t="shared" si="5"/>
        <v>8230031.9282935876</v>
      </c>
    </row>
    <row r="55" spans="1:9" ht="13.8">
      <c r="A55" s="71">
        <f>IF(Values_Entered,A54+1,"")</f>
        <v>38</v>
      </c>
      <c r="B55" s="72">
        <f t="shared" si="6"/>
        <v>45765</v>
      </c>
      <c r="C55" s="73">
        <f t="shared" si="7"/>
        <v>8230031.9282935876</v>
      </c>
      <c r="D55" s="73">
        <f t="shared" si="0"/>
        <v>106087.86919144379</v>
      </c>
      <c r="E55" s="74">
        <f t="shared" si="1"/>
        <v>0</v>
      </c>
      <c r="F55" s="73">
        <f t="shared" si="2"/>
        <v>106087.86919144379</v>
      </c>
      <c r="G55" s="73">
        <f t="shared" si="3"/>
        <v>10070.830028018594</v>
      </c>
      <c r="H55" s="73">
        <f t="shared" si="4"/>
        <v>96017.039163425201</v>
      </c>
      <c r="I55" s="73">
        <f t="shared" si="5"/>
        <v>8219961.0982655687</v>
      </c>
    </row>
    <row r="56" spans="1:9" ht="13.8">
      <c r="A56" s="71">
        <f>IF(Values_Entered,A55+1,"")</f>
        <v>39</v>
      </c>
      <c r="B56" s="72">
        <f t="shared" si="6"/>
        <v>45795</v>
      </c>
      <c r="C56" s="73">
        <f t="shared" si="7"/>
        <v>8219961.0982655687</v>
      </c>
      <c r="D56" s="73">
        <f t="shared" si="0"/>
        <v>106087.86919144379</v>
      </c>
      <c r="E56" s="74">
        <f t="shared" si="1"/>
        <v>0</v>
      </c>
      <c r="F56" s="73">
        <f t="shared" si="2"/>
        <v>106087.86919144379</v>
      </c>
      <c r="G56" s="73">
        <f t="shared" si="3"/>
        <v>10188.323045012148</v>
      </c>
      <c r="H56" s="73">
        <f t="shared" si="4"/>
        <v>95899.546146431647</v>
      </c>
      <c r="I56" s="73">
        <f t="shared" si="5"/>
        <v>8209772.7752205562</v>
      </c>
    </row>
    <row r="57" spans="1:9" ht="13.8">
      <c r="A57" s="71">
        <f>IF(Values_Entered,A56+1,"")</f>
        <v>40</v>
      </c>
      <c r="B57" s="72">
        <f t="shared" si="6"/>
        <v>45826</v>
      </c>
      <c r="C57" s="73">
        <f t="shared" si="7"/>
        <v>8209772.7752205562</v>
      </c>
      <c r="D57" s="73">
        <f t="shared" si="0"/>
        <v>106087.86919144379</v>
      </c>
      <c r="E57" s="74">
        <f t="shared" si="1"/>
        <v>0</v>
      </c>
      <c r="F57" s="73">
        <f t="shared" si="2"/>
        <v>106087.86919144379</v>
      </c>
      <c r="G57" s="73">
        <f t="shared" si="3"/>
        <v>10307.186813870634</v>
      </c>
      <c r="H57" s="73">
        <f t="shared" si="4"/>
        <v>95780.682377573161</v>
      </c>
      <c r="I57" s="73">
        <f t="shared" si="5"/>
        <v>8199465.5884066857</v>
      </c>
    </row>
    <row r="58" spans="1:9" ht="13.8">
      <c r="A58" s="71">
        <f>IF(Values_Entered,A57+1,"")</f>
        <v>41</v>
      </c>
      <c r="B58" s="72">
        <f t="shared" si="6"/>
        <v>45856</v>
      </c>
      <c r="C58" s="73">
        <f t="shared" si="7"/>
        <v>8199465.5884066857</v>
      </c>
      <c r="D58" s="73">
        <f t="shared" si="0"/>
        <v>106087.86919144379</v>
      </c>
      <c r="E58" s="74">
        <f t="shared" si="1"/>
        <v>0</v>
      </c>
      <c r="F58" s="73">
        <f t="shared" si="2"/>
        <v>106087.86919144379</v>
      </c>
      <c r="G58" s="73">
        <f t="shared" si="3"/>
        <v>10427.437326699117</v>
      </c>
      <c r="H58" s="73">
        <f t="shared" si="4"/>
        <v>95660.431864744678</v>
      </c>
      <c r="I58" s="73">
        <f t="shared" si="5"/>
        <v>8189038.1510799862</v>
      </c>
    </row>
    <row r="59" spans="1:9" ht="13.8">
      <c r="A59" s="71">
        <f>IF(Values_Entered,A58+1,"")</f>
        <v>42</v>
      </c>
      <c r="B59" s="72">
        <f t="shared" si="6"/>
        <v>45887</v>
      </c>
      <c r="C59" s="73">
        <f t="shared" si="7"/>
        <v>8189038.1510799862</v>
      </c>
      <c r="D59" s="73">
        <f t="shared" si="0"/>
        <v>106087.86919144379</v>
      </c>
      <c r="E59" s="74">
        <f t="shared" si="1"/>
        <v>0</v>
      </c>
      <c r="F59" s="73">
        <f t="shared" si="2"/>
        <v>106087.86919144379</v>
      </c>
      <c r="G59" s="73">
        <f t="shared" si="3"/>
        <v>10549.090762177279</v>
      </c>
      <c r="H59" s="73">
        <f t="shared" si="4"/>
        <v>95538.778429266516</v>
      </c>
      <c r="I59" s="73">
        <f t="shared" si="5"/>
        <v>8178489.0603178088</v>
      </c>
    </row>
    <row r="60" spans="1:9" ht="13.8">
      <c r="A60" s="71">
        <f>IF(Values_Entered,A59+1,"")</f>
        <v>43</v>
      </c>
      <c r="B60" s="72">
        <f t="shared" si="6"/>
        <v>45918</v>
      </c>
      <c r="C60" s="73">
        <f t="shared" si="7"/>
        <v>8178489.0603178088</v>
      </c>
      <c r="D60" s="73">
        <f t="shared" si="0"/>
        <v>106087.86919144379</v>
      </c>
      <c r="E60" s="74">
        <f t="shared" si="1"/>
        <v>0</v>
      </c>
      <c r="F60" s="73">
        <f t="shared" si="2"/>
        <v>106087.86919144379</v>
      </c>
      <c r="G60" s="73">
        <f t="shared" si="3"/>
        <v>10672.163487736019</v>
      </c>
      <c r="H60" s="73">
        <f t="shared" si="4"/>
        <v>95415.705703707776</v>
      </c>
      <c r="I60" s="73">
        <f t="shared" si="5"/>
        <v>8167816.8968300726</v>
      </c>
    </row>
    <row r="61" spans="1:9" ht="13.8">
      <c r="A61" s="71">
        <f>IF(Values_Entered,A60+1,"")</f>
        <v>44</v>
      </c>
      <c r="B61" s="72">
        <f t="shared" si="6"/>
        <v>45948</v>
      </c>
      <c r="C61" s="73">
        <f t="shared" si="7"/>
        <v>8167816.8968300726</v>
      </c>
      <c r="D61" s="73">
        <f t="shared" si="0"/>
        <v>106087.86919144379</v>
      </c>
      <c r="E61" s="74">
        <f t="shared" si="1"/>
        <v>0</v>
      </c>
      <c r="F61" s="73">
        <f t="shared" si="2"/>
        <v>106087.86919144379</v>
      </c>
      <c r="G61" s="73">
        <f t="shared" si="3"/>
        <v>10796.6720617596</v>
      </c>
      <c r="H61" s="73">
        <f t="shared" si="4"/>
        <v>95291.197129684195</v>
      </c>
      <c r="I61" s="73">
        <f t="shared" si="5"/>
        <v>8157020.2247683126</v>
      </c>
    </row>
    <row r="62" spans="1:9" ht="13.8">
      <c r="A62" s="71">
        <f>IF(Values_Entered,A61+1,"")</f>
        <v>45</v>
      </c>
      <c r="B62" s="72">
        <f t="shared" si="6"/>
        <v>45979</v>
      </c>
      <c r="C62" s="73">
        <f t="shared" si="7"/>
        <v>8157020.2247683126</v>
      </c>
      <c r="D62" s="73">
        <f t="shared" si="0"/>
        <v>106087.86919144379</v>
      </c>
      <c r="E62" s="74">
        <f t="shared" si="1"/>
        <v>0</v>
      </c>
      <c r="F62" s="73">
        <f t="shared" si="2"/>
        <v>106087.86919144379</v>
      </c>
      <c r="G62" s="73">
        <f t="shared" si="3"/>
        <v>10922.633235813468</v>
      </c>
      <c r="H62" s="73">
        <f t="shared" si="4"/>
        <v>95165.235955630327</v>
      </c>
      <c r="I62" s="73">
        <f t="shared" si="5"/>
        <v>8146097.5915324995</v>
      </c>
    </row>
    <row r="63" spans="1:9" ht="13.8">
      <c r="A63" s="71">
        <f>IF(Values_Entered,A62+1,"")</f>
        <v>46</v>
      </c>
      <c r="B63" s="72">
        <f t="shared" si="6"/>
        <v>46009</v>
      </c>
      <c r="C63" s="73">
        <f t="shared" si="7"/>
        <v>8146097.5915324995</v>
      </c>
      <c r="D63" s="73">
        <f t="shared" si="0"/>
        <v>106087.86919144379</v>
      </c>
      <c r="E63" s="74">
        <f t="shared" si="1"/>
        <v>0</v>
      </c>
      <c r="F63" s="73">
        <f t="shared" si="2"/>
        <v>106087.86919144379</v>
      </c>
      <c r="G63" s="73">
        <f t="shared" si="3"/>
        <v>11050.063956897953</v>
      </c>
      <c r="H63" s="73">
        <f t="shared" si="4"/>
        <v>95037.805234545842</v>
      </c>
      <c r="I63" s="73">
        <f t="shared" si="5"/>
        <v>8135047.5275756018</v>
      </c>
    </row>
    <row r="64" spans="1:9" ht="13.8">
      <c r="A64" s="71">
        <f>IF(Values_Entered,A63+1,"")</f>
        <v>47</v>
      </c>
      <c r="B64" s="72">
        <f t="shared" si="6"/>
        <v>46040</v>
      </c>
      <c r="C64" s="73">
        <f t="shared" si="7"/>
        <v>8135047.5275756018</v>
      </c>
      <c r="D64" s="73">
        <f t="shared" si="0"/>
        <v>106087.86919144379</v>
      </c>
      <c r="E64" s="74">
        <f t="shared" si="1"/>
        <v>0</v>
      </c>
      <c r="F64" s="73">
        <f t="shared" si="2"/>
        <v>106087.86919144379</v>
      </c>
      <c r="G64" s="73">
        <f t="shared" si="3"/>
        <v>11178.981369728426</v>
      </c>
      <c r="H64" s="73">
        <f t="shared" si="4"/>
        <v>94908.887821715369</v>
      </c>
      <c r="I64" s="73">
        <f t="shared" si="5"/>
        <v>8123868.5462058736</v>
      </c>
    </row>
    <row r="65" spans="1:9" ht="13.8">
      <c r="A65" s="71">
        <f>IF(Values_Entered,A64+1,"")</f>
        <v>48</v>
      </c>
      <c r="B65" s="72">
        <f t="shared" si="6"/>
        <v>46071</v>
      </c>
      <c r="C65" s="73">
        <f t="shared" si="7"/>
        <v>8123868.5462058736</v>
      </c>
      <c r="D65" s="73">
        <f t="shared" si="0"/>
        <v>106087.86919144379</v>
      </c>
      <c r="E65" s="74">
        <f t="shared" si="1"/>
        <v>0</v>
      </c>
      <c r="F65" s="73">
        <f t="shared" si="2"/>
        <v>106087.86919144379</v>
      </c>
      <c r="G65" s="73">
        <f t="shared" si="3"/>
        <v>11309.402819041934</v>
      </c>
      <c r="H65" s="73">
        <f t="shared" si="4"/>
        <v>94778.466372401861</v>
      </c>
      <c r="I65" s="73">
        <f t="shared" si="5"/>
        <v>8112559.1433868315</v>
      </c>
    </row>
    <row r="66" spans="1:9" ht="13.8">
      <c r="A66" s="71">
        <f>IF(Values_Entered,A65+1,"")</f>
        <v>49</v>
      </c>
      <c r="B66" s="72">
        <f t="shared" si="6"/>
        <v>46099</v>
      </c>
      <c r="C66" s="73">
        <f t="shared" si="7"/>
        <v>8112559.1433868315</v>
      </c>
      <c r="D66" s="73">
        <f t="shared" si="0"/>
        <v>106087.86919144379</v>
      </c>
      <c r="E66" s="74">
        <f t="shared" si="1"/>
        <v>0</v>
      </c>
      <c r="F66" s="73">
        <f t="shared" si="2"/>
        <v>106087.86919144379</v>
      </c>
      <c r="G66" s="73">
        <f t="shared" si="3"/>
        <v>11441.345851930746</v>
      </c>
      <c r="H66" s="73">
        <f t="shared" si="4"/>
        <v>94646.523339513049</v>
      </c>
      <c r="I66" s="73">
        <f t="shared" si="5"/>
        <v>8101117.7975349007</v>
      </c>
    </row>
    <row r="67" spans="1:9" ht="13.8">
      <c r="A67" s="71">
        <f>IF(Values_Entered,A66+1,"")</f>
        <v>50</v>
      </c>
      <c r="B67" s="72">
        <f t="shared" si="6"/>
        <v>46130</v>
      </c>
      <c r="C67" s="73">
        <f t="shared" si="7"/>
        <v>8101117.7975349007</v>
      </c>
      <c r="D67" s="73">
        <f t="shared" si="0"/>
        <v>106087.86919144379</v>
      </c>
      <c r="E67" s="74">
        <f t="shared" si="1"/>
        <v>0</v>
      </c>
      <c r="F67" s="73">
        <f t="shared" si="2"/>
        <v>106087.86919144379</v>
      </c>
      <c r="G67" s="73">
        <f t="shared" si="3"/>
        <v>11574.828220203286</v>
      </c>
      <c r="H67" s="73">
        <f t="shared" si="4"/>
        <v>94513.040971240509</v>
      </c>
      <c r="I67" s="73">
        <f t="shared" si="5"/>
        <v>8089542.9693146972</v>
      </c>
    </row>
    <row r="68" spans="1:9" ht="13.8">
      <c r="A68" s="71">
        <f>IF(Values_Entered,A67+1,"")</f>
        <v>51</v>
      </c>
      <c r="B68" s="72">
        <f t="shared" si="6"/>
        <v>46160</v>
      </c>
      <c r="C68" s="73">
        <f t="shared" si="7"/>
        <v>8089542.9693146972</v>
      </c>
      <c r="D68" s="73">
        <f t="shared" si="0"/>
        <v>106087.86919144379</v>
      </c>
      <c r="E68" s="74">
        <f t="shared" si="1"/>
        <v>0</v>
      </c>
      <c r="F68" s="73">
        <f t="shared" si="2"/>
        <v>106087.86919144379</v>
      </c>
      <c r="G68" s="73">
        <f t="shared" si="3"/>
        <v>11709.86788277232</v>
      </c>
      <c r="H68" s="73">
        <f t="shared" si="4"/>
        <v>94378.001308671475</v>
      </c>
      <c r="I68" s="73">
        <f t="shared" si="5"/>
        <v>8077833.1014319248</v>
      </c>
    </row>
    <row r="69" spans="1:9" ht="13.8">
      <c r="A69" s="71">
        <f>IF(Values_Entered,A68+1,"")</f>
        <v>52</v>
      </c>
      <c r="B69" s="72">
        <f t="shared" si="6"/>
        <v>46191</v>
      </c>
      <c r="C69" s="73">
        <f t="shared" si="7"/>
        <v>8077833.1014319248</v>
      </c>
      <c r="D69" s="73">
        <f t="shared" si="0"/>
        <v>106087.86919144379</v>
      </c>
      <c r="E69" s="74">
        <f t="shared" si="1"/>
        <v>0</v>
      </c>
      <c r="F69" s="73">
        <f t="shared" si="2"/>
        <v>106087.86919144379</v>
      </c>
      <c r="G69" s="73">
        <f t="shared" si="3"/>
        <v>11846.483008071329</v>
      </c>
      <c r="H69" s="73">
        <f t="shared" si="4"/>
        <v>94241.386183372466</v>
      </c>
      <c r="I69" s="73">
        <f t="shared" si="5"/>
        <v>8065986.6184238531</v>
      </c>
    </row>
    <row r="70" spans="1:9" ht="13.8">
      <c r="A70" s="71">
        <f>IF(Values_Entered,A69+1,"")</f>
        <v>53</v>
      </c>
      <c r="B70" s="72">
        <f t="shared" si="6"/>
        <v>46221</v>
      </c>
      <c r="C70" s="73">
        <f t="shared" si="7"/>
        <v>8065986.6184238531</v>
      </c>
      <c r="D70" s="73">
        <f t="shared" si="0"/>
        <v>106087.86919144379</v>
      </c>
      <c r="E70" s="74">
        <f t="shared" si="1"/>
        <v>0</v>
      </c>
      <c r="F70" s="73">
        <f t="shared" si="2"/>
        <v>106087.86919144379</v>
      </c>
      <c r="G70" s="73">
        <f t="shared" si="3"/>
        <v>11984.691976498827</v>
      </c>
      <c r="H70" s="73">
        <f t="shared" si="4"/>
        <v>94103.177214944968</v>
      </c>
      <c r="I70" s="73">
        <f t="shared" si="5"/>
        <v>8054001.9264473543</v>
      </c>
    </row>
    <row r="71" spans="1:9" ht="13.8">
      <c r="A71" s="71">
        <f>IF(Values_Entered,A70+1,"")</f>
        <v>54</v>
      </c>
      <c r="B71" s="72">
        <f t="shared" si="6"/>
        <v>46252</v>
      </c>
      <c r="C71" s="73">
        <f t="shared" si="7"/>
        <v>8054001.9264473543</v>
      </c>
      <c r="D71" s="73">
        <f t="shared" si="0"/>
        <v>106087.86919144379</v>
      </c>
      <c r="E71" s="74">
        <f t="shared" si="1"/>
        <v>0</v>
      </c>
      <c r="F71" s="73">
        <f t="shared" si="2"/>
        <v>106087.86919144379</v>
      </c>
      <c r="G71" s="73">
        <f t="shared" si="3"/>
        <v>12124.513382891324</v>
      </c>
      <c r="H71" s="73">
        <f t="shared" si="4"/>
        <v>93963.355808552471</v>
      </c>
      <c r="I71" s="73">
        <f t="shared" si="5"/>
        <v>8041877.4130644631</v>
      </c>
    </row>
    <row r="72" spans="1:9" ht="13.8">
      <c r="A72" s="71">
        <f>IF(Values_Entered,A71+1,"")</f>
        <v>55</v>
      </c>
      <c r="B72" s="72">
        <f t="shared" si="6"/>
        <v>46283</v>
      </c>
      <c r="C72" s="73">
        <f t="shared" si="7"/>
        <v>8041877.4130644631</v>
      </c>
      <c r="D72" s="73">
        <f t="shared" si="0"/>
        <v>106087.86919144379</v>
      </c>
      <c r="E72" s="74">
        <f t="shared" si="1"/>
        <v>0</v>
      </c>
      <c r="F72" s="73">
        <f t="shared" si="2"/>
        <v>106087.86919144379</v>
      </c>
      <c r="G72" s="73">
        <f t="shared" si="3"/>
        <v>12265.96603902505</v>
      </c>
      <c r="H72" s="73">
        <f t="shared" si="4"/>
        <v>93821.903152418745</v>
      </c>
      <c r="I72" s="73">
        <f t="shared" si="5"/>
        <v>8029611.4470254378</v>
      </c>
    </row>
    <row r="73" spans="1:9" ht="13.8">
      <c r="A73" s="71">
        <f>IF(Values_Entered,A72+1,"")</f>
        <v>56</v>
      </c>
      <c r="B73" s="72">
        <f t="shared" si="6"/>
        <v>46313</v>
      </c>
      <c r="C73" s="73">
        <f t="shared" si="7"/>
        <v>8029611.4470254378</v>
      </c>
      <c r="D73" s="73">
        <f t="shared" si="0"/>
        <v>106087.86919144379</v>
      </c>
      <c r="E73" s="74">
        <f t="shared" si="1"/>
        <v>0</v>
      </c>
      <c r="F73" s="73">
        <f t="shared" si="2"/>
        <v>106087.86919144379</v>
      </c>
      <c r="G73" s="73">
        <f t="shared" si="3"/>
        <v>12409.068976147013</v>
      </c>
      <c r="H73" s="73">
        <f t="shared" si="4"/>
        <v>93678.800215296782</v>
      </c>
      <c r="I73" s="73">
        <f t="shared" si="5"/>
        <v>8017202.3780492907</v>
      </c>
    </row>
    <row r="74" spans="1:9" ht="13.8">
      <c r="A74" s="71">
        <f>IF(Values_Entered,A73+1,"")</f>
        <v>57</v>
      </c>
      <c r="B74" s="72">
        <f t="shared" si="6"/>
        <v>46344</v>
      </c>
      <c r="C74" s="73">
        <f t="shared" si="7"/>
        <v>8017202.3780492907</v>
      </c>
      <c r="D74" s="73">
        <f t="shared" si="0"/>
        <v>106087.86919144379</v>
      </c>
      <c r="E74" s="74">
        <f t="shared" si="1"/>
        <v>0</v>
      </c>
      <c r="F74" s="73">
        <f t="shared" si="2"/>
        <v>106087.86919144379</v>
      </c>
      <c r="G74" s="73">
        <f t="shared" si="3"/>
        <v>12553.841447535393</v>
      </c>
      <c r="H74" s="73">
        <f t="shared" si="4"/>
        <v>93534.027743908402</v>
      </c>
      <c r="I74" s="73">
        <f t="shared" si="5"/>
        <v>8004648.5366017558</v>
      </c>
    </row>
    <row r="75" spans="1:9" ht="13.8">
      <c r="A75" s="71">
        <f>IF(Values_Entered,A74+1,"")</f>
        <v>58</v>
      </c>
      <c r="B75" s="72">
        <f t="shared" si="6"/>
        <v>46374</v>
      </c>
      <c r="C75" s="73">
        <f t="shared" si="7"/>
        <v>8004648.5366017558</v>
      </c>
      <c r="D75" s="73">
        <f t="shared" si="0"/>
        <v>106087.86919144379</v>
      </c>
      <c r="E75" s="74">
        <f t="shared" si="1"/>
        <v>0</v>
      </c>
      <c r="F75" s="73">
        <f t="shared" si="2"/>
        <v>106087.86919144379</v>
      </c>
      <c r="G75" s="73">
        <f t="shared" si="3"/>
        <v>12700.302931089973</v>
      </c>
      <c r="H75" s="73">
        <f t="shared" si="4"/>
        <v>93387.566260353822</v>
      </c>
      <c r="I75" s="73">
        <f t="shared" si="5"/>
        <v>7991948.2336706659</v>
      </c>
    </row>
    <row r="76" spans="1:9" ht="13.8">
      <c r="A76" s="71">
        <f>IF(Values_Entered,A75+1,"")</f>
        <v>59</v>
      </c>
      <c r="B76" s="72">
        <f t="shared" si="6"/>
        <v>46405</v>
      </c>
      <c r="C76" s="73">
        <f t="shared" si="7"/>
        <v>7991948.2336706659</v>
      </c>
      <c r="D76" s="73">
        <f t="shared" si="0"/>
        <v>106087.86919144379</v>
      </c>
      <c r="E76" s="74">
        <f t="shared" si="1"/>
        <v>0</v>
      </c>
      <c r="F76" s="73">
        <f t="shared" si="2"/>
        <v>106087.86919144379</v>
      </c>
      <c r="G76" s="73">
        <f t="shared" si="3"/>
        <v>12848.473131952691</v>
      </c>
      <c r="H76" s="73">
        <f t="shared" si="4"/>
        <v>93239.396059491104</v>
      </c>
      <c r="I76" s="73">
        <f t="shared" si="5"/>
        <v>7979099.7605387131</v>
      </c>
    </row>
    <row r="77" spans="1:9" ht="13.8">
      <c r="A77" s="71">
        <f>IF(Values_Entered,A76+1,"")</f>
        <v>60</v>
      </c>
      <c r="B77" s="72">
        <f t="shared" si="6"/>
        <v>46436</v>
      </c>
      <c r="C77" s="73">
        <f t="shared" si="7"/>
        <v>7979099.7605387131</v>
      </c>
      <c r="D77" s="73">
        <f t="shared" si="0"/>
        <v>106087.86919144379</v>
      </c>
      <c r="E77" s="74">
        <f t="shared" si="1"/>
        <v>0</v>
      </c>
      <c r="F77" s="73">
        <f t="shared" si="2"/>
        <v>106087.86919144379</v>
      </c>
      <c r="G77" s="73">
        <f t="shared" si="3"/>
        <v>12998.371985158796</v>
      </c>
      <c r="H77" s="73">
        <f t="shared" si="4"/>
        <v>93089.497206284999</v>
      </c>
      <c r="I77" s="73">
        <f t="shared" si="5"/>
        <v>7966101.3885535542</v>
      </c>
    </row>
    <row r="78" spans="1:9" ht="13.8">
      <c r="A78" s="75">
        <f>IF(Values_Entered,A77+1,"")</f>
        <v>61</v>
      </c>
      <c r="B78" s="76">
        <f t="shared" si="6"/>
        <v>46464</v>
      </c>
      <c r="C78" s="77">
        <f t="shared" si="7"/>
        <v>7966101.3885535542</v>
      </c>
      <c r="D78" s="77">
        <f t="shared" si="0"/>
        <v>106087.86919144379</v>
      </c>
      <c r="E78" s="74">
        <f t="shared" si="1"/>
        <v>0</v>
      </c>
      <c r="F78" s="77">
        <f t="shared" si="2"/>
        <v>106087.86919144379</v>
      </c>
      <c r="G78" s="77">
        <f t="shared" si="3"/>
        <v>13150.019658318983</v>
      </c>
      <c r="H78" s="77">
        <f t="shared" si="4"/>
        <v>92937.849533124812</v>
      </c>
      <c r="I78" s="77">
        <f t="shared" si="5"/>
        <v>7952951.3688952355</v>
      </c>
    </row>
    <row r="79" spans="1:9" ht="13.8">
      <c r="A79" s="75">
        <f>IF(Values_Entered,A78+1,"")</f>
        <v>62</v>
      </c>
      <c r="B79" s="76">
        <f t="shared" si="6"/>
        <v>46495</v>
      </c>
      <c r="C79" s="77">
        <f t="shared" si="7"/>
        <v>7952951.3688952355</v>
      </c>
      <c r="D79" s="77">
        <f t="shared" si="0"/>
        <v>106087.86919144379</v>
      </c>
      <c r="E79" s="74">
        <f t="shared" si="1"/>
        <v>0</v>
      </c>
      <c r="F79" s="77">
        <f t="shared" si="2"/>
        <v>106087.86919144379</v>
      </c>
      <c r="G79" s="77">
        <f t="shared" si="3"/>
        <v>13303.4365543327</v>
      </c>
      <c r="H79" s="77">
        <f t="shared" si="4"/>
        <v>92784.432637111095</v>
      </c>
      <c r="I79" s="77">
        <f t="shared" si="5"/>
        <v>7939647.9323409032</v>
      </c>
    </row>
    <row r="80" spans="1:9" ht="13.8">
      <c r="A80" s="75">
        <f>IF(Values_Entered,A79+1,"")</f>
        <v>63</v>
      </c>
      <c r="B80" s="76">
        <f t="shared" si="6"/>
        <v>46525</v>
      </c>
      <c r="C80" s="77">
        <f t="shared" si="7"/>
        <v>7939647.9323409032</v>
      </c>
      <c r="D80" s="77">
        <f t="shared" si="0"/>
        <v>106087.86919144379</v>
      </c>
      <c r="E80" s="74">
        <f t="shared" si="1"/>
        <v>0</v>
      </c>
      <c r="F80" s="77">
        <f t="shared" si="2"/>
        <v>106087.86919144379</v>
      </c>
      <c r="G80" s="77">
        <f t="shared" si="3"/>
        <v>13458.643314133253</v>
      </c>
      <c r="H80" s="77">
        <f t="shared" si="4"/>
        <v>92629.225877310542</v>
      </c>
      <c r="I80" s="77">
        <f t="shared" si="5"/>
        <v>7926189.2890267698</v>
      </c>
    </row>
    <row r="81" spans="1:9" ht="13.8">
      <c r="A81" s="75">
        <f>IF(Values_Entered,A80+1,"")</f>
        <v>64</v>
      </c>
      <c r="B81" s="76">
        <f t="shared" si="6"/>
        <v>46556</v>
      </c>
      <c r="C81" s="77">
        <f t="shared" si="7"/>
        <v>7926189.2890267698</v>
      </c>
      <c r="D81" s="77">
        <f t="shared" si="0"/>
        <v>106087.86919144379</v>
      </c>
      <c r="E81" s="74">
        <f t="shared" si="1"/>
        <v>0</v>
      </c>
      <c r="F81" s="77">
        <f t="shared" si="2"/>
        <v>106087.86919144379</v>
      </c>
      <c r="G81" s="77">
        <f t="shared" si="3"/>
        <v>13615.6608194648</v>
      </c>
      <c r="H81" s="77">
        <f t="shared" si="4"/>
        <v>92472.208371978995</v>
      </c>
      <c r="I81" s="77">
        <f t="shared" si="5"/>
        <v>7912573.6282073054</v>
      </c>
    </row>
    <row r="82" spans="1:9" ht="13.8">
      <c r="A82" s="75">
        <f>IF(Values_Entered,A81+1,"")</f>
        <v>65</v>
      </c>
      <c r="B82" s="76">
        <f t="shared" si="6"/>
        <v>46586</v>
      </c>
      <c r="C82" s="77">
        <f t="shared" si="7"/>
        <v>7912573.6282073054</v>
      </c>
      <c r="D82" s="77">
        <f t="shared" ref="D82:D145" si="8">IF(Pay_Num&lt;&gt;"",Scheduled_Monthly_Payment,"")</f>
        <v>106087.86919144379</v>
      </c>
      <c r="E82" s="74">
        <f t="shared" ref="E82:E145" si="9">IF(Pay_Num&lt;&gt;"",Scheduled_Extra_Payments,"")</f>
        <v>0</v>
      </c>
      <c r="F82" s="77">
        <f t="shared" ref="F82:F145" si="10">IF(Pay_Num&lt;&gt;"",Sched_Pay+Extra_Pay,"")</f>
        <v>106087.86919144379</v>
      </c>
      <c r="G82" s="77">
        <f t="shared" ref="G82:G145" si="11">IF(Pay_Num&lt;&gt;"",Total_Pay-Int,"")</f>
        <v>13774.510195691895</v>
      </c>
      <c r="H82" s="77">
        <f t="shared" ref="H82:H145" si="12">IF(Pay_Num&lt;&gt;"",Beg_Bal*Interest_Rate/12,"")</f>
        <v>92313.3589957519</v>
      </c>
      <c r="I82" s="77">
        <f t="shared" ref="I82:I145" si="13">IF(Pay_Num&lt;&gt;"",Beg_Bal-Princ,"")</f>
        <v>7898799.1180116134</v>
      </c>
    </row>
    <row r="83" spans="1:9" ht="13.8">
      <c r="A83" s="75">
        <f>IF(Values_Entered,A82+1,"")</f>
        <v>66</v>
      </c>
      <c r="B83" s="76">
        <f t="shared" ref="B83:B146" si="14">IF(Pay_Num&lt;&gt;"",DATE(YEAR(B82),MONTH(B82)+1,DAY(B82)),"")</f>
        <v>46617</v>
      </c>
      <c r="C83" s="77">
        <f t="shared" ref="C83:C146" si="15">IF(Pay_Num&lt;&gt;"",I82,"")</f>
        <v>7898799.1180116134</v>
      </c>
      <c r="D83" s="77">
        <f t="shared" si="8"/>
        <v>106087.86919144379</v>
      </c>
      <c r="E83" s="74">
        <f t="shared" si="9"/>
        <v>0</v>
      </c>
      <c r="F83" s="77">
        <f t="shared" si="10"/>
        <v>106087.86919144379</v>
      </c>
      <c r="G83" s="77">
        <f t="shared" si="11"/>
        <v>13935.212814641622</v>
      </c>
      <c r="H83" s="77">
        <f t="shared" si="12"/>
        <v>92152.656376802173</v>
      </c>
      <c r="I83" s="77">
        <f t="shared" si="13"/>
        <v>7884863.9051969722</v>
      </c>
    </row>
    <row r="84" spans="1:9" ht="13.8">
      <c r="A84" s="75">
        <f>IF(Values_Entered,A83+1,"")</f>
        <v>67</v>
      </c>
      <c r="B84" s="76">
        <f t="shared" si="14"/>
        <v>46648</v>
      </c>
      <c r="C84" s="77">
        <f t="shared" si="15"/>
        <v>7884863.9051969722</v>
      </c>
      <c r="D84" s="77">
        <f t="shared" si="8"/>
        <v>106087.86919144379</v>
      </c>
      <c r="E84" s="74">
        <f t="shared" si="9"/>
        <v>0</v>
      </c>
      <c r="F84" s="77">
        <f t="shared" si="10"/>
        <v>106087.86919144379</v>
      </c>
      <c r="G84" s="77">
        <f t="shared" si="11"/>
        <v>14097.790297479107</v>
      </c>
      <c r="H84" s="77">
        <f t="shared" si="12"/>
        <v>91990.078893964688</v>
      </c>
      <c r="I84" s="77">
        <f t="shared" si="13"/>
        <v>7870766.1148994928</v>
      </c>
    </row>
    <row r="85" spans="1:9" ht="13.8">
      <c r="A85" s="75">
        <f>IF(Values_Entered,A84+1,"")</f>
        <v>68</v>
      </c>
      <c r="B85" s="76">
        <f t="shared" si="14"/>
        <v>46678</v>
      </c>
      <c r="C85" s="77">
        <f t="shared" si="15"/>
        <v>7870766.1148994928</v>
      </c>
      <c r="D85" s="77">
        <f t="shared" si="8"/>
        <v>106087.86919144379</v>
      </c>
      <c r="E85" s="74">
        <f t="shared" si="9"/>
        <v>0</v>
      </c>
      <c r="F85" s="77">
        <f t="shared" si="10"/>
        <v>106087.86919144379</v>
      </c>
      <c r="G85" s="77">
        <f t="shared" si="11"/>
        <v>14262.264517616379</v>
      </c>
      <c r="H85" s="77">
        <f t="shared" si="12"/>
        <v>91825.604673827416</v>
      </c>
      <c r="I85" s="77">
        <f t="shared" si="13"/>
        <v>7856503.8503818763</v>
      </c>
    </row>
    <row r="86" spans="1:9" ht="13.8">
      <c r="A86" s="75">
        <f>IF(Values_Entered,A85+1,"")</f>
        <v>69</v>
      </c>
      <c r="B86" s="76">
        <f t="shared" si="14"/>
        <v>46709</v>
      </c>
      <c r="C86" s="77">
        <f t="shared" si="15"/>
        <v>7856503.8503818763</v>
      </c>
      <c r="D86" s="77">
        <f t="shared" si="8"/>
        <v>106087.86919144379</v>
      </c>
      <c r="E86" s="74">
        <f t="shared" si="9"/>
        <v>0</v>
      </c>
      <c r="F86" s="77">
        <f t="shared" si="10"/>
        <v>106087.86919144379</v>
      </c>
      <c r="G86" s="77">
        <f t="shared" si="11"/>
        <v>14428.657603655243</v>
      </c>
      <c r="H86" s="77">
        <f t="shared" si="12"/>
        <v>91659.211587788552</v>
      </c>
      <c r="I86" s="77">
        <f t="shared" si="13"/>
        <v>7842075.1927782213</v>
      </c>
    </row>
    <row r="87" spans="1:9" ht="13.8">
      <c r="A87" s="75">
        <f>IF(Values_Entered,A86+1,"")</f>
        <v>70</v>
      </c>
      <c r="B87" s="76">
        <f t="shared" si="14"/>
        <v>46739</v>
      </c>
      <c r="C87" s="77">
        <f t="shared" si="15"/>
        <v>7842075.1927782213</v>
      </c>
      <c r="D87" s="77">
        <f t="shared" si="8"/>
        <v>106087.86919144379</v>
      </c>
      <c r="E87" s="74">
        <f t="shared" si="9"/>
        <v>0</v>
      </c>
      <c r="F87" s="77">
        <f t="shared" si="10"/>
        <v>106087.86919144379</v>
      </c>
      <c r="G87" s="77">
        <f t="shared" si="11"/>
        <v>14596.991942364548</v>
      </c>
      <c r="H87" s="77">
        <f t="shared" si="12"/>
        <v>91490.877249079247</v>
      </c>
      <c r="I87" s="77">
        <f t="shared" si="13"/>
        <v>7827478.2008358566</v>
      </c>
    </row>
    <row r="88" spans="1:9" ht="13.8">
      <c r="A88" s="75">
        <f>IF(Values_Entered,A87+1,"")</f>
        <v>71</v>
      </c>
      <c r="B88" s="76">
        <f t="shared" si="14"/>
        <v>46770</v>
      </c>
      <c r="C88" s="77">
        <f t="shared" si="15"/>
        <v>7827478.2008358566</v>
      </c>
      <c r="D88" s="77">
        <f t="shared" si="8"/>
        <v>106087.86919144379</v>
      </c>
      <c r="E88" s="74">
        <f t="shared" si="9"/>
        <v>0</v>
      </c>
      <c r="F88" s="77">
        <f t="shared" si="10"/>
        <v>106087.86919144379</v>
      </c>
      <c r="G88" s="77">
        <f t="shared" si="11"/>
        <v>14767.290181692122</v>
      </c>
      <c r="H88" s="77">
        <f t="shared" si="12"/>
        <v>91320.579009751673</v>
      </c>
      <c r="I88" s="77">
        <f t="shared" si="13"/>
        <v>7812710.9106541649</v>
      </c>
    </row>
    <row r="89" spans="1:9" ht="13.8">
      <c r="A89" s="75">
        <f>IF(Values_Entered,A88+1,"")</f>
        <v>72</v>
      </c>
      <c r="B89" s="76">
        <f t="shared" si="14"/>
        <v>46801</v>
      </c>
      <c r="C89" s="77">
        <f t="shared" si="15"/>
        <v>7812710.9106541649</v>
      </c>
      <c r="D89" s="77">
        <f t="shared" si="8"/>
        <v>106087.86919144379</v>
      </c>
      <c r="E89" s="74">
        <f t="shared" si="9"/>
        <v>0</v>
      </c>
      <c r="F89" s="77">
        <f t="shared" si="10"/>
        <v>106087.86919144379</v>
      </c>
      <c r="G89" s="77">
        <f t="shared" si="11"/>
        <v>14939.575233811862</v>
      </c>
      <c r="H89" s="77">
        <f t="shared" si="12"/>
        <v>91148.293957631933</v>
      </c>
      <c r="I89" s="77">
        <f t="shared" si="13"/>
        <v>7797771.3354203533</v>
      </c>
    </row>
    <row r="90" spans="1:9" ht="13.8">
      <c r="A90" s="75">
        <f>IF(Values_Entered,A89+1,"")</f>
        <v>73</v>
      </c>
      <c r="B90" s="76">
        <f t="shared" si="14"/>
        <v>46830</v>
      </c>
      <c r="C90" s="77">
        <f t="shared" si="15"/>
        <v>7797771.3354203533</v>
      </c>
      <c r="D90" s="77">
        <f t="shared" si="8"/>
        <v>106087.86919144379</v>
      </c>
      <c r="E90" s="74">
        <f t="shared" si="9"/>
        <v>0</v>
      </c>
      <c r="F90" s="77">
        <f t="shared" si="10"/>
        <v>106087.86919144379</v>
      </c>
      <c r="G90" s="77">
        <f t="shared" si="11"/>
        <v>15113.870278206334</v>
      </c>
      <c r="H90" s="77">
        <f t="shared" si="12"/>
        <v>90973.998913237461</v>
      </c>
      <c r="I90" s="77">
        <f t="shared" si="13"/>
        <v>7782657.4651421467</v>
      </c>
    </row>
    <row r="91" spans="1:9" ht="13.8">
      <c r="A91" s="75">
        <f>IF(Values_Entered,A90+1,"")</f>
        <v>74</v>
      </c>
      <c r="B91" s="76">
        <f t="shared" si="14"/>
        <v>46861</v>
      </c>
      <c r="C91" s="77">
        <f t="shared" si="15"/>
        <v>7782657.4651421467</v>
      </c>
      <c r="D91" s="77">
        <f t="shared" si="8"/>
        <v>106087.86919144379</v>
      </c>
      <c r="E91" s="74">
        <f t="shared" si="9"/>
        <v>0</v>
      </c>
      <c r="F91" s="77">
        <f t="shared" si="10"/>
        <v>106087.86919144379</v>
      </c>
      <c r="G91" s="77">
        <f t="shared" si="11"/>
        <v>15290.198764785397</v>
      </c>
      <c r="H91" s="77">
        <f t="shared" si="12"/>
        <v>90797.670426658398</v>
      </c>
      <c r="I91" s="77">
        <f t="shared" si="13"/>
        <v>7767367.2663773615</v>
      </c>
    </row>
    <row r="92" spans="1:9" ht="13.8">
      <c r="A92" s="75">
        <f>IF(Values_Entered,A91+1,"")</f>
        <v>75</v>
      </c>
      <c r="B92" s="76">
        <f t="shared" si="14"/>
        <v>46891</v>
      </c>
      <c r="C92" s="77">
        <f t="shared" si="15"/>
        <v>7767367.2663773615</v>
      </c>
      <c r="D92" s="77">
        <f t="shared" si="8"/>
        <v>106087.86919144379</v>
      </c>
      <c r="E92" s="74">
        <f t="shared" si="9"/>
        <v>0</v>
      </c>
      <c r="F92" s="77">
        <f t="shared" si="10"/>
        <v>106087.86919144379</v>
      </c>
      <c r="G92" s="77">
        <f t="shared" si="11"/>
        <v>15468.584417041231</v>
      </c>
      <c r="H92" s="77">
        <f t="shared" si="12"/>
        <v>90619.284774402564</v>
      </c>
      <c r="I92" s="77">
        <f t="shared" si="13"/>
        <v>7751898.6819603201</v>
      </c>
    </row>
    <row r="93" spans="1:9" ht="13.8">
      <c r="A93" s="75">
        <f>IF(Values_Entered,A92+1,"")</f>
        <v>76</v>
      </c>
      <c r="B93" s="76">
        <f t="shared" si="14"/>
        <v>46922</v>
      </c>
      <c r="C93" s="77">
        <f t="shared" si="15"/>
        <v>7751898.6819603201</v>
      </c>
      <c r="D93" s="77">
        <f t="shared" si="8"/>
        <v>106087.86919144379</v>
      </c>
      <c r="E93" s="74">
        <f t="shared" si="9"/>
        <v>0</v>
      </c>
      <c r="F93" s="77">
        <f t="shared" si="10"/>
        <v>106087.86919144379</v>
      </c>
      <c r="G93" s="77">
        <f t="shared" si="11"/>
        <v>15649.05123524004</v>
      </c>
      <c r="H93" s="77">
        <f t="shared" si="12"/>
        <v>90438.817956203755</v>
      </c>
      <c r="I93" s="77">
        <f t="shared" si="13"/>
        <v>7736249.6307250801</v>
      </c>
    </row>
    <row r="94" spans="1:9" ht="13.8">
      <c r="A94" s="75">
        <f>IF(Values_Entered,A93+1,"")</f>
        <v>77</v>
      </c>
      <c r="B94" s="76">
        <f t="shared" si="14"/>
        <v>46952</v>
      </c>
      <c r="C94" s="77">
        <f t="shared" si="15"/>
        <v>7736249.6307250801</v>
      </c>
      <c r="D94" s="77">
        <f t="shared" si="8"/>
        <v>106087.86919144379</v>
      </c>
      <c r="E94" s="74">
        <f t="shared" si="9"/>
        <v>0</v>
      </c>
      <c r="F94" s="77">
        <f t="shared" si="10"/>
        <v>106087.86919144379</v>
      </c>
      <c r="G94" s="77">
        <f t="shared" si="11"/>
        <v>15831.623499651178</v>
      </c>
      <c r="H94" s="77">
        <f t="shared" si="12"/>
        <v>90256.245691792617</v>
      </c>
      <c r="I94" s="77">
        <f t="shared" si="13"/>
        <v>7720418.0072254287</v>
      </c>
    </row>
    <row r="95" spans="1:9" ht="13.8">
      <c r="A95" s="75">
        <f>IF(Values_Entered,A94+1,"")</f>
        <v>78</v>
      </c>
      <c r="B95" s="76">
        <f t="shared" si="14"/>
        <v>46983</v>
      </c>
      <c r="C95" s="77">
        <f t="shared" si="15"/>
        <v>7720418.0072254287</v>
      </c>
      <c r="D95" s="77">
        <f t="shared" si="8"/>
        <v>106087.86919144379</v>
      </c>
      <c r="E95" s="74">
        <f t="shared" si="9"/>
        <v>0</v>
      </c>
      <c r="F95" s="77">
        <f t="shared" si="10"/>
        <v>106087.86919144379</v>
      </c>
      <c r="G95" s="77">
        <f t="shared" si="11"/>
        <v>16016.325773813776</v>
      </c>
      <c r="H95" s="77">
        <f t="shared" si="12"/>
        <v>90071.543417630019</v>
      </c>
      <c r="I95" s="77">
        <f t="shared" si="13"/>
        <v>7704401.6814516149</v>
      </c>
    </row>
    <row r="96" spans="1:9" ht="13.8">
      <c r="A96" s="75">
        <f>IF(Values_Entered,A95+1,"")</f>
        <v>79</v>
      </c>
      <c r="B96" s="76">
        <f t="shared" si="14"/>
        <v>47014</v>
      </c>
      <c r="C96" s="77">
        <f t="shared" si="15"/>
        <v>7704401.6814516149</v>
      </c>
      <c r="D96" s="77">
        <f t="shared" si="8"/>
        <v>106087.86919144379</v>
      </c>
      <c r="E96" s="74">
        <f t="shared" si="9"/>
        <v>0</v>
      </c>
      <c r="F96" s="77">
        <f t="shared" si="10"/>
        <v>106087.86919144379</v>
      </c>
      <c r="G96" s="77">
        <f t="shared" si="11"/>
        <v>16203.182907841605</v>
      </c>
      <c r="H96" s="77">
        <f t="shared" si="12"/>
        <v>89884.68628360219</v>
      </c>
      <c r="I96" s="77">
        <f t="shared" si="13"/>
        <v>7688198.4985437738</v>
      </c>
    </row>
    <row r="97" spans="1:9" ht="13.8">
      <c r="A97" s="75">
        <f>IF(Values_Entered,A96+1,"")</f>
        <v>80</v>
      </c>
      <c r="B97" s="76">
        <f t="shared" si="14"/>
        <v>47044</v>
      </c>
      <c r="C97" s="77">
        <f t="shared" si="15"/>
        <v>7688198.4985437738</v>
      </c>
      <c r="D97" s="77">
        <f t="shared" si="8"/>
        <v>106087.86919144379</v>
      </c>
      <c r="E97" s="74">
        <f t="shared" si="9"/>
        <v>0</v>
      </c>
      <c r="F97" s="77">
        <f t="shared" si="10"/>
        <v>106087.86919144379</v>
      </c>
      <c r="G97" s="77">
        <f t="shared" si="11"/>
        <v>16392.220041766428</v>
      </c>
      <c r="H97" s="77">
        <f t="shared" si="12"/>
        <v>89695.649149677367</v>
      </c>
      <c r="I97" s="77">
        <f t="shared" si="13"/>
        <v>7671806.278502007</v>
      </c>
    </row>
    <row r="98" spans="1:9" ht="13.8">
      <c r="A98" s="75">
        <f>IF(Values_Entered,A97+1,"")</f>
        <v>81</v>
      </c>
      <c r="B98" s="76">
        <f t="shared" si="14"/>
        <v>47075</v>
      </c>
      <c r="C98" s="77">
        <f t="shared" si="15"/>
        <v>7671806.278502007</v>
      </c>
      <c r="D98" s="77">
        <f t="shared" si="8"/>
        <v>106087.86919144379</v>
      </c>
      <c r="E98" s="74">
        <f t="shared" si="9"/>
        <v>0</v>
      </c>
      <c r="F98" s="77">
        <f t="shared" si="10"/>
        <v>106087.86919144379</v>
      </c>
      <c r="G98" s="77">
        <f t="shared" si="11"/>
        <v>16583.462608920367</v>
      </c>
      <c r="H98" s="77">
        <f t="shared" si="12"/>
        <v>89504.406582523428</v>
      </c>
      <c r="I98" s="77">
        <f t="shared" si="13"/>
        <v>7655222.8158930866</v>
      </c>
    </row>
    <row r="99" spans="1:9" ht="13.8">
      <c r="A99" s="75">
        <f>IF(Values_Entered,A98+1,"")</f>
        <v>82</v>
      </c>
      <c r="B99" s="76">
        <f t="shared" si="14"/>
        <v>47105</v>
      </c>
      <c r="C99" s="77">
        <f t="shared" si="15"/>
        <v>7655222.8158930866</v>
      </c>
      <c r="D99" s="77">
        <f t="shared" si="8"/>
        <v>106087.86919144379</v>
      </c>
      <c r="E99" s="74">
        <f t="shared" si="9"/>
        <v>0</v>
      </c>
      <c r="F99" s="77">
        <f t="shared" si="10"/>
        <v>106087.86919144379</v>
      </c>
      <c r="G99" s="77">
        <f t="shared" si="11"/>
        <v>16776.936339357781</v>
      </c>
      <c r="H99" s="77">
        <f t="shared" si="12"/>
        <v>89310.932852086014</v>
      </c>
      <c r="I99" s="77">
        <f t="shared" si="13"/>
        <v>7638445.8795537287</v>
      </c>
    </row>
    <row r="100" spans="1:9" ht="13.8">
      <c r="A100" s="75">
        <f>IF(Values_Entered,A99+1,"")</f>
        <v>83</v>
      </c>
      <c r="B100" s="76">
        <f t="shared" si="14"/>
        <v>47136</v>
      </c>
      <c r="C100" s="77">
        <f t="shared" si="15"/>
        <v>7638445.8795537287</v>
      </c>
      <c r="D100" s="77">
        <f t="shared" si="8"/>
        <v>106087.86919144379</v>
      </c>
      <c r="E100" s="74">
        <f t="shared" si="9"/>
        <v>0</v>
      </c>
      <c r="F100" s="77">
        <f t="shared" si="10"/>
        <v>106087.86919144379</v>
      </c>
      <c r="G100" s="77">
        <f t="shared" si="11"/>
        <v>16972.667263316951</v>
      </c>
      <c r="H100" s="77">
        <f t="shared" si="12"/>
        <v>89115.201928126844</v>
      </c>
      <c r="I100" s="77">
        <f t="shared" si="13"/>
        <v>7621473.2122904118</v>
      </c>
    </row>
    <row r="101" spans="1:9" ht="13.8">
      <c r="A101" s="75">
        <f>IF(Values_Entered,A100+1,"")</f>
        <v>84</v>
      </c>
      <c r="B101" s="76">
        <f t="shared" si="14"/>
        <v>47167</v>
      </c>
      <c r="C101" s="77">
        <f t="shared" si="15"/>
        <v>7621473.2122904118</v>
      </c>
      <c r="D101" s="77">
        <f t="shared" si="8"/>
        <v>106087.86919144379</v>
      </c>
      <c r="E101" s="74">
        <f t="shared" si="9"/>
        <v>0</v>
      </c>
      <c r="F101" s="77">
        <f t="shared" si="10"/>
        <v>106087.86919144379</v>
      </c>
      <c r="G101" s="77">
        <f t="shared" si="11"/>
        <v>17170.681714722319</v>
      </c>
      <c r="H101" s="77">
        <f t="shared" si="12"/>
        <v>88917.187476721476</v>
      </c>
      <c r="I101" s="77">
        <f t="shared" si="13"/>
        <v>7604302.5305756899</v>
      </c>
    </row>
    <row r="102" spans="1:9" ht="13.8">
      <c r="A102" s="75">
        <f>IF(Values_Entered,A101+1,"")</f>
        <v>85</v>
      </c>
      <c r="B102" s="76">
        <f t="shared" si="14"/>
        <v>47195</v>
      </c>
      <c r="C102" s="77">
        <f t="shared" si="15"/>
        <v>7604302.5305756899</v>
      </c>
      <c r="D102" s="77">
        <f t="shared" si="8"/>
        <v>106087.86919144379</v>
      </c>
      <c r="E102" s="74">
        <f t="shared" si="9"/>
        <v>0</v>
      </c>
      <c r="F102" s="77">
        <f t="shared" si="10"/>
        <v>106087.86919144379</v>
      </c>
      <c r="G102" s="77">
        <f t="shared" si="11"/>
        <v>17371.006334727412</v>
      </c>
      <c r="H102" s="77">
        <f t="shared" si="12"/>
        <v>88716.862856716383</v>
      </c>
      <c r="I102" s="77">
        <f t="shared" si="13"/>
        <v>7586931.5242409622</v>
      </c>
    </row>
    <row r="103" spans="1:9" ht="13.8">
      <c r="A103" s="75">
        <f>IF(Values_Entered,A102+1,"")</f>
        <v>86</v>
      </c>
      <c r="B103" s="76">
        <f t="shared" si="14"/>
        <v>47226</v>
      </c>
      <c r="C103" s="77">
        <f t="shared" si="15"/>
        <v>7586931.5242409622</v>
      </c>
      <c r="D103" s="77">
        <f t="shared" si="8"/>
        <v>106087.86919144379</v>
      </c>
      <c r="E103" s="74">
        <f t="shared" si="9"/>
        <v>0</v>
      </c>
      <c r="F103" s="77">
        <f t="shared" si="10"/>
        <v>106087.86919144379</v>
      </c>
      <c r="G103" s="77">
        <f t="shared" si="11"/>
        <v>17573.66807529924</v>
      </c>
      <c r="H103" s="77">
        <f t="shared" si="12"/>
        <v>88514.201116144555</v>
      </c>
      <c r="I103" s="77">
        <f t="shared" si="13"/>
        <v>7569357.8561656633</v>
      </c>
    </row>
    <row r="104" spans="1:9" ht="13.8">
      <c r="A104" s="75">
        <f>IF(Values_Entered,A103+1,"")</f>
        <v>87</v>
      </c>
      <c r="B104" s="76">
        <f t="shared" si="14"/>
        <v>47256</v>
      </c>
      <c r="C104" s="77">
        <f t="shared" si="15"/>
        <v>7569357.8561656633</v>
      </c>
      <c r="D104" s="77">
        <f t="shared" si="8"/>
        <v>106087.86919144379</v>
      </c>
      <c r="E104" s="74">
        <f t="shared" si="9"/>
        <v>0</v>
      </c>
      <c r="F104" s="77">
        <f t="shared" si="10"/>
        <v>106087.86919144379</v>
      </c>
      <c r="G104" s="77">
        <f t="shared" si="11"/>
        <v>17778.694202844374</v>
      </c>
      <c r="H104" s="77">
        <f t="shared" si="12"/>
        <v>88309.174988599421</v>
      </c>
      <c r="I104" s="77">
        <f t="shared" si="13"/>
        <v>7551579.1619628193</v>
      </c>
    </row>
    <row r="105" spans="1:9" ht="13.8">
      <c r="A105" s="75">
        <f>IF(Values_Entered,A104+1,"")</f>
        <v>88</v>
      </c>
      <c r="B105" s="76">
        <f t="shared" si="14"/>
        <v>47287</v>
      </c>
      <c r="C105" s="77">
        <f t="shared" si="15"/>
        <v>7551579.1619628193</v>
      </c>
      <c r="D105" s="77">
        <f t="shared" si="8"/>
        <v>106087.86919144379</v>
      </c>
      <c r="E105" s="74">
        <f t="shared" si="9"/>
        <v>0</v>
      </c>
      <c r="F105" s="77">
        <f t="shared" si="10"/>
        <v>106087.86919144379</v>
      </c>
      <c r="G105" s="77">
        <f t="shared" si="11"/>
        <v>17986.112301877554</v>
      </c>
      <c r="H105" s="77">
        <f t="shared" si="12"/>
        <v>88101.756889566241</v>
      </c>
      <c r="I105" s="77">
        <f t="shared" si="13"/>
        <v>7533593.0496609416</v>
      </c>
    </row>
    <row r="106" spans="1:9" ht="13.8">
      <c r="A106" s="75">
        <f>IF(Values_Entered,A105+1,"")</f>
        <v>89</v>
      </c>
      <c r="B106" s="76">
        <f t="shared" si="14"/>
        <v>47317</v>
      </c>
      <c r="C106" s="77">
        <f t="shared" si="15"/>
        <v>7533593.0496609416</v>
      </c>
      <c r="D106" s="77">
        <f t="shared" si="8"/>
        <v>106087.86919144379</v>
      </c>
      <c r="E106" s="74">
        <f t="shared" si="9"/>
        <v>0</v>
      </c>
      <c r="F106" s="77">
        <f t="shared" si="10"/>
        <v>106087.86919144379</v>
      </c>
      <c r="G106" s="77">
        <f t="shared" si="11"/>
        <v>18195.950278732809</v>
      </c>
      <c r="H106" s="77">
        <f t="shared" si="12"/>
        <v>87891.918912710986</v>
      </c>
      <c r="I106" s="77">
        <f t="shared" si="13"/>
        <v>7515397.0993822087</v>
      </c>
    </row>
    <row r="107" spans="1:9" ht="13.8">
      <c r="A107" s="75">
        <f>IF(Values_Entered,A106+1,"")</f>
        <v>90</v>
      </c>
      <c r="B107" s="76">
        <f t="shared" si="14"/>
        <v>47348</v>
      </c>
      <c r="C107" s="77">
        <f t="shared" si="15"/>
        <v>7515397.0993822087</v>
      </c>
      <c r="D107" s="77">
        <f t="shared" si="8"/>
        <v>106087.86919144379</v>
      </c>
      <c r="E107" s="74">
        <f t="shared" si="9"/>
        <v>0</v>
      </c>
      <c r="F107" s="77">
        <f t="shared" si="10"/>
        <v>106087.86919144379</v>
      </c>
      <c r="G107" s="77">
        <f t="shared" si="11"/>
        <v>18408.236365318022</v>
      </c>
      <c r="H107" s="77">
        <f t="shared" si="12"/>
        <v>87679.632826125773</v>
      </c>
      <c r="I107" s="77">
        <f t="shared" si="13"/>
        <v>7496988.8630168904</v>
      </c>
    </row>
    <row r="108" spans="1:9" ht="13.8">
      <c r="A108" s="75">
        <f>IF(Values_Entered,A107+1,"")</f>
        <v>91</v>
      </c>
      <c r="B108" s="76">
        <f t="shared" si="14"/>
        <v>47379</v>
      </c>
      <c r="C108" s="77">
        <f t="shared" si="15"/>
        <v>7496988.8630168904</v>
      </c>
      <c r="D108" s="77">
        <f t="shared" si="8"/>
        <v>106087.86919144379</v>
      </c>
      <c r="E108" s="74">
        <f t="shared" si="9"/>
        <v>0</v>
      </c>
      <c r="F108" s="77">
        <f t="shared" si="10"/>
        <v>106087.86919144379</v>
      </c>
      <c r="G108" s="77">
        <f t="shared" si="11"/>
        <v>18622.999122913403</v>
      </c>
      <c r="H108" s="77">
        <f t="shared" si="12"/>
        <v>87464.870068530392</v>
      </c>
      <c r="I108" s="77">
        <f t="shared" si="13"/>
        <v>7478365.8638939774</v>
      </c>
    </row>
    <row r="109" spans="1:9" ht="13.8">
      <c r="A109" s="75">
        <f>IF(Values_Entered,A108+1,"")</f>
        <v>92</v>
      </c>
      <c r="B109" s="76">
        <f t="shared" si="14"/>
        <v>47409</v>
      </c>
      <c r="C109" s="77">
        <f t="shared" si="15"/>
        <v>7478365.8638939774</v>
      </c>
      <c r="D109" s="77">
        <f t="shared" si="8"/>
        <v>106087.86919144379</v>
      </c>
      <c r="E109" s="74">
        <f t="shared" si="9"/>
        <v>0</v>
      </c>
      <c r="F109" s="77">
        <f t="shared" si="10"/>
        <v>106087.86919144379</v>
      </c>
      <c r="G109" s="77">
        <f t="shared" si="11"/>
        <v>18840.267446014055</v>
      </c>
      <c r="H109" s="77">
        <f t="shared" si="12"/>
        <v>87247.60174542974</v>
      </c>
      <c r="I109" s="77">
        <f t="shared" si="13"/>
        <v>7459525.5964479633</v>
      </c>
    </row>
    <row r="110" spans="1:9" ht="13.8">
      <c r="A110" s="75">
        <f>IF(Values_Entered,A109+1,"")</f>
        <v>93</v>
      </c>
      <c r="B110" s="76">
        <f t="shared" si="14"/>
        <v>47440</v>
      </c>
      <c r="C110" s="77">
        <f t="shared" si="15"/>
        <v>7459525.5964479633</v>
      </c>
      <c r="D110" s="77">
        <f t="shared" si="8"/>
        <v>106087.86919144379</v>
      </c>
      <c r="E110" s="74">
        <f t="shared" si="9"/>
        <v>0</v>
      </c>
      <c r="F110" s="77">
        <f t="shared" si="10"/>
        <v>106087.86919144379</v>
      </c>
      <c r="G110" s="77">
        <f t="shared" si="11"/>
        <v>19060.070566217546</v>
      </c>
      <c r="H110" s="77">
        <f t="shared" si="12"/>
        <v>87027.798625226249</v>
      </c>
      <c r="I110" s="77">
        <f t="shared" si="13"/>
        <v>7440465.5258817459</v>
      </c>
    </row>
    <row r="111" spans="1:9" ht="13.8">
      <c r="A111" s="75">
        <f>IF(Values_Entered,A110+1,"")</f>
        <v>94</v>
      </c>
      <c r="B111" s="76">
        <f t="shared" si="14"/>
        <v>47470</v>
      </c>
      <c r="C111" s="77">
        <f t="shared" si="15"/>
        <v>7440465.5258817459</v>
      </c>
      <c r="D111" s="77">
        <f t="shared" si="8"/>
        <v>106087.86919144379</v>
      </c>
      <c r="E111" s="74">
        <f t="shared" si="9"/>
        <v>0</v>
      </c>
      <c r="F111" s="77">
        <f t="shared" si="10"/>
        <v>106087.86919144379</v>
      </c>
      <c r="G111" s="77">
        <f t="shared" si="11"/>
        <v>19282.438056156752</v>
      </c>
      <c r="H111" s="77">
        <f t="shared" si="12"/>
        <v>86805.431135287043</v>
      </c>
      <c r="I111" s="77">
        <f t="shared" si="13"/>
        <v>7421183.0878255889</v>
      </c>
    </row>
    <row r="112" spans="1:9" ht="13.8">
      <c r="A112" s="75">
        <f>IF(Values_Entered,A111+1,"")</f>
        <v>95</v>
      </c>
      <c r="B112" s="76">
        <f t="shared" si="14"/>
        <v>47501</v>
      </c>
      <c r="C112" s="77">
        <f t="shared" si="15"/>
        <v>7421183.0878255889</v>
      </c>
      <c r="D112" s="77">
        <f t="shared" si="8"/>
        <v>106087.86919144379</v>
      </c>
      <c r="E112" s="74">
        <f t="shared" si="9"/>
        <v>0</v>
      </c>
      <c r="F112" s="77">
        <f t="shared" si="10"/>
        <v>106087.86919144379</v>
      </c>
      <c r="G112" s="77">
        <f t="shared" si="11"/>
        <v>19507.399833478587</v>
      </c>
      <c r="H112" s="77">
        <f t="shared" si="12"/>
        <v>86580.469357965208</v>
      </c>
      <c r="I112" s="77">
        <f t="shared" si="13"/>
        <v>7401675.6879921099</v>
      </c>
    </row>
    <row r="113" spans="1:9" ht="13.8">
      <c r="A113" s="75">
        <f>IF(Values_Entered,A112+1,"")</f>
        <v>96</v>
      </c>
      <c r="B113" s="76">
        <f t="shared" si="14"/>
        <v>47532</v>
      </c>
      <c r="C113" s="77">
        <f t="shared" si="15"/>
        <v>7401675.6879921099</v>
      </c>
      <c r="D113" s="77">
        <f t="shared" si="8"/>
        <v>106087.86919144379</v>
      </c>
      <c r="E113" s="74">
        <f t="shared" si="9"/>
        <v>0</v>
      </c>
      <c r="F113" s="77">
        <f t="shared" si="10"/>
        <v>106087.86919144379</v>
      </c>
      <c r="G113" s="77">
        <f t="shared" si="11"/>
        <v>19734.986164869173</v>
      </c>
      <c r="H113" s="77">
        <f t="shared" si="12"/>
        <v>86352.883026574622</v>
      </c>
      <c r="I113" s="77">
        <f t="shared" si="13"/>
        <v>7381940.7018272411</v>
      </c>
    </row>
    <row r="114" spans="1:9" ht="13.8">
      <c r="A114" s="75">
        <f>IF(Values_Entered,A113+1,"")</f>
        <v>97</v>
      </c>
      <c r="B114" s="76">
        <f t="shared" si="14"/>
        <v>47560</v>
      </c>
      <c r="C114" s="77">
        <f t="shared" si="15"/>
        <v>7381940.7018272411</v>
      </c>
      <c r="D114" s="77">
        <f t="shared" si="8"/>
        <v>106087.86919144379</v>
      </c>
      <c r="E114" s="74">
        <f t="shared" si="9"/>
        <v>0</v>
      </c>
      <c r="F114" s="77">
        <f t="shared" si="10"/>
        <v>106087.86919144379</v>
      </c>
      <c r="G114" s="77">
        <f t="shared" si="11"/>
        <v>19965.227670125983</v>
      </c>
      <c r="H114" s="77">
        <f t="shared" si="12"/>
        <v>86122.641521317812</v>
      </c>
      <c r="I114" s="77">
        <f t="shared" si="13"/>
        <v>7361975.4741571154</v>
      </c>
    </row>
    <row r="115" spans="1:9" ht="13.8">
      <c r="A115" s="75">
        <f>IF(Values_Entered,A114+1,"")</f>
        <v>98</v>
      </c>
      <c r="B115" s="76">
        <f t="shared" si="14"/>
        <v>47591</v>
      </c>
      <c r="C115" s="77">
        <f t="shared" si="15"/>
        <v>7361975.4741571154</v>
      </c>
      <c r="D115" s="77">
        <f t="shared" si="8"/>
        <v>106087.86919144379</v>
      </c>
      <c r="E115" s="74">
        <f t="shared" si="9"/>
        <v>0</v>
      </c>
      <c r="F115" s="77">
        <f t="shared" si="10"/>
        <v>106087.86919144379</v>
      </c>
      <c r="G115" s="77">
        <f t="shared" si="11"/>
        <v>20198.15532627744</v>
      </c>
      <c r="H115" s="77">
        <f t="shared" si="12"/>
        <v>85889.713865166355</v>
      </c>
      <c r="I115" s="77">
        <f t="shared" si="13"/>
        <v>7341777.3188308384</v>
      </c>
    </row>
    <row r="116" spans="1:9" ht="13.8">
      <c r="A116" s="75">
        <f>IF(Values_Entered,A115+1,"")</f>
        <v>99</v>
      </c>
      <c r="B116" s="76">
        <f t="shared" si="14"/>
        <v>47621</v>
      </c>
      <c r="C116" s="77">
        <f t="shared" si="15"/>
        <v>7341777.3188308384</v>
      </c>
      <c r="D116" s="77">
        <f t="shared" si="8"/>
        <v>106087.86919144379</v>
      </c>
      <c r="E116" s="74">
        <f t="shared" si="9"/>
        <v>0</v>
      </c>
      <c r="F116" s="77">
        <f t="shared" si="10"/>
        <v>106087.86919144379</v>
      </c>
      <c r="G116" s="77">
        <f t="shared" si="11"/>
        <v>20433.80047175067</v>
      </c>
      <c r="H116" s="77">
        <f t="shared" si="12"/>
        <v>85654.068719693125</v>
      </c>
      <c r="I116" s="77">
        <f t="shared" si="13"/>
        <v>7321343.5183590874</v>
      </c>
    </row>
    <row r="117" spans="1:9" ht="13.8">
      <c r="A117" s="75">
        <f>IF(Values_Entered,A116+1,"")</f>
        <v>100</v>
      </c>
      <c r="B117" s="76">
        <f t="shared" si="14"/>
        <v>47652</v>
      </c>
      <c r="C117" s="77">
        <f t="shared" si="15"/>
        <v>7321343.5183590874</v>
      </c>
      <c r="D117" s="77">
        <f t="shared" si="8"/>
        <v>106087.86919144379</v>
      </c>
      <c r="E117" s="74">
        <f t="shared" si="9"/>
        <v>0</v>
      </c>
      <c r="F117" s="77">
        <f t="shared" si="10"/>
        <v>106087.86919144379</v>
      </c>
      <c r="G117" s="77">
        <f t="shared" si="11"/>
        <v>20672.194810587767</v>
      </c>
      <c r="H117" s="77">
        <f t="shared" si="12"/>
        <v>85415.674380856028</v>
      </c>
      <c r="I117" s="77">
        <f t="shared" si="13"/>
        <v>7300671.3235484995</v>
      </c>
    </row>
    <row r="118" spans="1:9" ht="13.8">
      <c r="A118" s="75">
        <f>IF(Values_Entered,A117+1,"")</f>
        <v>101</v>
      </c>
      <c r="B118" s="76">
        <f t="shared" si="14"/>
        <v>47682</v>
      </c>
      <c r="C118" s="77">
        <f t="shared" si="15"/>
        <v>7300671.3235484995</v>
      </c>
      <c r="D118" s="77">
        <f t="shared" si="8"/>
        <v>106087.86919144379</v>
      </c>
      <c r="E118" s="74">
        <f t="shared" si="9"/>
        <v>0</v>
      </c>
      <c r="F118" s="77">
        <f t="shared" si="10"/>
        <v>106087.86919144379</v>
      </c>
      <c r="G118" s="77">
        <f t="shared" si="11"/>
        <v>20913.370416711288</v>
      </c>
      <c r="H118" s="77">
        <f t="shared" si="12"/>
        <v>85174.498774732507</v>
      </c>
      <c r="I118" s="77">
        <f t="shared" si="13"/>
        <v>7279757.9531317884</v>
      </c>
    </row>
    <row r="119" spans="1:9" ht="13.8">
      <c r="A119" s="75">
        <f>IF(Values_Entered,A118+1,"")</f>
        <v>102</v>
      </c>
      <c r="B119" s="76">
        <f t="shared" si="14"/>
        <v>47713</v>
      </c>
      <c r="C119" s="77">
        <f t="shared" si="15"/>
        <v>7279757.9531317884</v>
      </c>
      <c r="D119" s="77">
        <f t="shared" si="8"/>
        <v>106087.86919144379</v>
      </c>
      <c r="E119" s="74">
        <f t="shared" si="9"/>
        <v>0</v>
      </c>
      <c r="F119" s="77">
        <f t="shared" si="10"/>
        <v>106087.86919144379</v>
      </c>
      <c r="G119" s="77">
        <f t="shared" si="11"/>
        <v>21157.359738239582</v>
      </c>
      <c r="H119" s="77">
        <f t="shared" si="12"/>
        <v>84930.509453204213</v>
      </c>
      <c r="I119" s="77">
        <f t="shared" si="13"/>
        <v>7258600.5933935484</v>
      </c>
    </row>
    <row r="120" spans="1:9" ht="13.8">
      <c r="A120" s="75">
        <f>IF(Values_Entered,A119+1,"")</f>
        <v>103</v>
      </c>
      <c r="B120" s="76">
        <f t="shared" si="14"/>
        <v>47744</v>
      </c>
      <c r="C120" s="77">
        <f t="shared" si="15"/>
        <v>7258600.5933935484</v>
      </c>
      <c r="D120" s="77">
        <f t="shared" si="8"/>
        <v>106087.86919144379</v>
      </c>
      <c r="E120" s="74">
        <f t="shared" si="9"/>
        <v>0</v>
      </c>
      <c r="F120" s="77">
        <f t="shared" si="10"/>
        <v>106087.86919144379</v>
      </c>
      <c r="G120" s="77">
        <f t="shared" si="11"/>
        <v>21404.195601852392</v>
      </c>
      <c r="H120" s="77">
        <f t="shared" si="12"/>
        <v>84683.673589591403</v>
      </c>
      <c r="I120" s="77">
        <f t="shared" si="13"/>
        <v>7237196.3977916958</v>
      </c>
    </row>
    <row r="121" spans="1:9" ht="13.8">
      <c r="A121" s="75">
        <f>IF(Values_Entered,A120+1,"")</f>
        <v>104</v>
      </c>
      <c r="B121" s="76">
        <f t="shared" si="14"/>
        <v>47774</v>
      </c>
      <c r="C121" s="77">
        <f t="shared" si="15"/>
        <v>7237196.3977916958</v>
      </c>
      <c r="D121" s="77">
        <f t="shared" si="8"/>
        <v>106087.86919144379</v>
      </c>
      <c r="E121" s="74">
        <f t="shared" si="9"/>
        <v>0</v>
      </c>
      <c r="F121" s="77">
        <f t="shared" si="10"/>
        <v>106087.86919144379</v>
      </c>
      <c r="G121" s="77">
        <f t="shared" si="11"/>
        <v>21653.911217207336</v>
      </c>
      <c r="H121" s="77">
        <f t="shared" si="12"/>
        <v>84433.957974236459</v>
      </c>
      <c r="I121" s="77">
        <f t="shared" si="13"/>
        <v>7215542.4865744887</v>
      </c>
    </row>
    <row r="122" spans="1:9" ht="13.8">
      <c r="A122" s="75">
        <f>IF(Values_Entered,A121+1,"")</f>
        <v>105</v>
      </c>
      <c r="B122" s="76">
        <f t="shared" si="14"/>
        <v>47805</v>
      </c>
      <c r="C122" s="77">
        <f t="shared" si="15"/>
        <v>7215542.4865744887</v>
      </c>
      <c r="D122" s="77">
        <f t="shared" si="8"/>
        <v>106087.86919144379</v>
      </c>
      <c r="E122" s="74">
        <f t="shared" si="9"/>
        <v>0</v>
      </c>
      <c r="F122" s="77">
        <f t="shared" si="10"/>
        <v>106087.86919144379</v>
      </c>
      <c r="G122" s="77">
        <f t="shared" si="11"/>
        <v>21906.540181408083</v>
      </c>
      <c r="H122" s="77">
        <f t="shared" si="12"/>
        <v>84181.329010035712</v>
      </c>
      <c r="I122" s="77">
        <f t="shared" si="13"/>
        <v>7193635.946393081</v>
      </c>
    </row>
    <row r="123" spans="1:9" ht="13.8">
      <c r="A123" s="75">
        <f>IF(Values_Entered,A122+1,"")</f>
        <v>106</v>
      </c>
      <c r="B123" s="76">
        <f t="shared" si="14"/>
        <v>47835</v>
      </c>
      <c r="C123" s="77">
        <f t="shared" si="15"/>
        <v>7193635.946393081</v>
      </c>
      <c r="D123" s="77">
        <f t="shared" si="8"/>
        <v>106087.86919144379</v>
      </c>
      <c r="E123" s="74">
        <f t="shared" si="9"/>
        <v>0</v>
      </c>
      <c r="F123" s="77">
        <f t="shared" si="10"/>
        <v>106087.86919144379</v>
      </c>
      <c r="G123" s="77">
        <f t="shared" si="11"/>
        <v>22162.1164835245</v>
      </c>
      <c r="H123" s="77">
        <f t="shared" si="12"/>
        <v>83925.752707919295</v>
      </c>
      <c r="I123" s="77">
        <f t="shared" si="13"/>
        <v>7171473.8299095565</v>
      </c>
    </row>
    <row r="124" spans="1:9" ht="13.8">
      <c r="A124" s="75">
        <f>IF(Values_Entered,A123+1,"")</f>
        <v>107</v>
      </c>
      <c r="B124" s="76">
        <f t="shared" si="14"/>
        <v>47866</v>
      </c>
      <c r="C124" s="77">
        <f t="shared" si="15"/>
        <v>7171473.8299095565</v>
      </c>
      <c r="D124" s="77">
        <f t="shared" si="8"/>
        <v>106087.86919144379</v>
      </c>
      <c r="E124" s="74">
        <f t="shared" si="9"/>
        <v>0</v>
      </c>
      <c r="F124" s="77">
        <f t="shared" si="10"/>
        <v>106087.86919144379</v>
      </c>
      <c r="G124" s="77">
        <f t="shared" si="11"/>
        <v>22420.674509165634</v>
      </c>
      <c r="H124" s="77">
        <f t="shared" si="12"/>
        <v>83667.194682278161</v>
      </c>
      <c r="I124" s="77">
        <f t="shared" si="13"/>
        <v>7149053.1554003907</v>
      </c>
    </row>
    <row r="125" spans="1:9" ht="13.8">
      <c r="A125" s="75">
        <f>IF(Values_Entered,A124+1,"")</f>
        <v>108</v>
      </c>
      <c r="B125" s="78">
        <f>IF(Pay_Num&lt;&gt;"",DATE(YEAR(B124),MONTH(B124)+1,DAY(B124)),"")</f>
        <v>47897</v>
      </c>
      <c r="C125" s="79">
        <f t="shared" si="15"/>
        <v>7149053.1554003907</v>
      </c>
      <c r="D125" s="77">
        <f t="shared" si="8"/>
        <v>106087.86919144379</v>
      </c>
      <c r="E125" s="74">
        <f t="shared" si="9"/>
        <v>0</v>
      </c>
      <c r="F125" s="77">
        <f t="shared" si="10"/>
        <v>106087.86919144379</v>
      </c>
      <c r="G125" s="77">
        <f t="shared" si="11"/>
        <v>22682.249045105898</v>
      </c>
      <c r="H125" s="77">
        <f t="shared" si="12"/>
        <v>83405.620146337897</v>
      </c>
      <c r="I125" s="77">
        <f t="shared" si="13"/>
        <v>7126370.9063552851</v>
      </c>
    </row>
    <row r="126" spans="1:9" ht="13.8">
      <c r="A126" s="75">
        <f>IF(Values_Entered,A125+1,"")</f>
        <v>109</v>
      </c>
      <c r="B126" s="78">
        <f t="shared" si="14"/>
        <v>47925</v>
      </c>
      <c r="C126" s="79">
        <f t="shared" si="15"/>
        <v>7126370.9063552851</v>
      </c>
      <c r="D126" s="77">
        <f t="shared" si="8"/>
        <v>106087.86919144379</v>
      </c>
      <c r="E126" s="74">
        <f t="shared" si="9"/>
        <v>0</v>
      </c>
      <c r="F126" s="77">
        <f t="shared" si="10"/>
        <v>106087.86919144379</v>
      </c>
      <c r="G126" s="77">
        <f t="shared" si="11"/>
        <v>22946.875283965463</v>
      </c>
      <c r="H126" s="77">
        <f t="shared" si="12"/>
        <v>83140.993907478332</v>
      </c>
      <c r="I126" s="77">
        <f t="shared" si="13"/>
        <v>7103424.0310713192</v>
      </c>
    </row>
    <row r="127" spans="1:9" ht="13.8">
      <c r="A127" s="75">
        <f>IF(Values_Entered,A126+1,"")</f>
        <v>110</v>
      </c>
      <c r="B127" s="78">
        <f t="shared" si="14"/>
        <v>47956</v>
      </c>
      <c r="C127" s="79">
        <f t="shared" si="15"/>
        <v>7103424.0310713192</v>
      </c>
      <c r="D127" s="77">
        <f t="shared" si="8"/>
        <v>106087.86919144379</v>
      </c>
      <c r="E127" s="74">
        <f t="shared" si="9"/>
        <v>0</v>
      </c>
      <c r="F127" s="77">
        <f t="shared" si="10"/>
        <v>106087.86919144379</v>
      </c>
      <c r="G127" s="77">
        <f t="shared" si="11"/>
        <v>23214.588828945067</v>
      </c>
      <c r="H127" s="77">
        <f t="shared" si="12"/>
        <v>82873.280362498728</v>
      </c>
      <c r="I127" s="77">
        <f t="shared" si="13"/>
        <v>7080209.4422423746</v>
      </c>
    </row>
    <row r="128" spans="1:9" ht="13.8">
      <c r="A128" s="75">
        <f>IF(Values_Entered,A127+1,"")</f>
        <v>111</v>
      </c>
      <c r="B128" s="78">
        <f t="shared" si="14"/>
        <v>47986</v>
      </c>
      <c r="C128" s="79">
        <f t="shared" si="15"/>
        <v>7080209.4422423746</v>
      </c>
      <c r="D128" s="77">
        <f t="shared" si="8"/>
        <v>106087.86919144379</v>
      </c>
      <c r="E128" s="74">
        <f t="shared" si="9"/>
        <v>0</v>
      </c>
      <c r="F128" s="77">
        <f t="shared" si="10"/>
        <v>106087.86919144379</v>
      </c>
      <c r="G128" s="77">
        <f t="shared" si="11"/>
        <v>23485.425698616076</v>
      </c>
      <c r="H128" s="77">
        <f t="shared" si="12"/>
        <v>82602.443492827719</v>
      </c>
      <c r="I128" s="77">
        <f t="shared" si="13"/>
        <v>7056724.016543759</v>
      </c>
    </row>
    <row r="129" spans="1:9" ht="13.8">
      <c r="A129" s="75">
        <f>IF(Values_Entered,A128+1,"")</f>
        <v>112</v>
      </c>
      <c r="B129" s="78">
        <f t="shared" si="14"/>
        <v>48017</v>
      </c>
      <c r="C129" s="79">
        <f t="shared" si="15"/>
        <v>7056724.016543759</v>
      </c>
      <c r="D129" s="77">
        <f t="shared" si="8"/>
        <v>106087.86919144379</v>
      </c>
      <c r="E129" s="74">
        <f t="shared" si="9"/>
        <v>0</v>
      </c>
      <c r="F129" s="77">
        <f t="shared" si="10"/>
        <v>106087.86919144379</v>
      </c>
      <c r="G129" s="77">
        <f t="shared" si="11"/>
        <v>23759.422331766604</v>
      </c>
      <c r="H129" s="77">
        <f t="shared" si="12"/>
        <v>82328.446859677191</v>
      </c>
      <c r="I129" s="77">
        <f t="shared" si="13"/>
        <v>7032964.5942119928</v>
      </c>
    </row>
    <row r="130" spans="1:9" ht="13.8">
      <c r="A130" s="75">
        <f>IF(Values_Entered,A129+1,"")</f>
        <v>113</v>
      </c>
      <c r="B130" s="78">
        <f t="shared" si="14"/>
        <v>48047</v>
      </c>
      <c r="C130" s="79">
        <f t="shared" si="15"/>
        <v>7032964.5942119928</v>
      </c>
      <c r="D130" s="77">
        <f t="shared" si="8"/>
        <v>106087.86919144379</v>
      </c>
      <c r="E130" s="74">
        <f t="shared" si="9"/>
        <v>0</v>
      </c>
      <c r="F130" s="77">
        <f t="shared" si="10"/>
        <v>106087.86919144379</v>
      </c>
      <c r="G130" s="77">
        <f t="shared" si="11"/>
        <v>24036.615592303875</v>
      </c>
      <c r="H130" s="77">
        <f t="shared" si="12"/>
        <v>82051.25359913992</v>
      </c>
      <c r="I130" s="77">
        <f t="shared" si="13"/>
        <v>7008927.9786196891</v>
      </c>
    </row>
    <row r="131" spans="1:9" ht="13.8">
      <c r="A131" s="75">
        <f>IF(Values_Entered,A130+1,"")</f>
        <v>114</v>
      </c>
      <c r="B131" s="78">
        <f t="shared" si="14"/>
        <v>48078</v>
      </c>
      <c r="C131" s="79">
        <f t="shared" si="15"/>
        <v>7008927.9786196891</v>
      </c>
      <c r="D131" s="77">
        <f t="shared" si="8"/>
        <v>106087.86919144379</v>
      </c>
      <c r="E131" s="74">
        <f t="shared" si="9"/>
        <v>0</v>
      </c>
      <c r="F131" s="77">
        <f t="shared" si="10"/>
        <v>106087.86919144379</v>
      </c>
      <c r="G131" s="77">
        <f t="shared" si="11"/>
        <v>24317.042774214089</v>
      </c>
      <c r="H131" s="77">
        <f t="shared" si="12"/>
        <v>81770.826417229706</v>
      </c>
      <c r="I131" s="77">
        <f t="shared" si="13"/>
        <v>6984610.9358454747</v>
      </c>
    </row>
    <row r="132" spans="1:9" ht="13.8">
      <c r="A132" s="75">
        <f>IF(Values_Entered,A131+1,"")</f>
        <v>115</v>
      </c>
      <c r="B132" s="78">
        <f t="shared" si="14"/>
        <v>48109</v>
      </c>
      <c r="C132" s="79">
        <f t="shared" si="15"/>
        <v>6984610.9358454747</v>
      </c>
      <c r="D132" s="77">
        <f t="shared" si="8"/>
        <v>106087.86919144379</v>
      </c>
      <c r="E132" s="74">
        <f t="shared" si="9"/>
        <v>0</v>
      </c>
      <c r="F132" s="77">
        <f t="shared" si="10"/>
        <v>106087.86919144379</v>
      </c>
      <c r="G132" s="77">
        <f t="shared" si="11"/>
        <v>24600.741606579919</v>
      </c>
      <c r="H132" s="77">
        <f t="shared" si="12"/>
        <v>81487.127584863876</v>
      </c>
      <c r="I132" s="77">
        <f t="shared" si="13"/>
        <v>6960010.1942388946</v>
      </c>
    </row>
    <row r="133" spans="1:9" ht="13.8">
      <c r="A133" s="75">
        <f>IF(Values_Entered,A132+1,"")</f>
        <v>116</v>
      </c>
      <c r="B133" s="78">
        <f t="shared" si="14"/>
        <v>48139</v>
      </c>
      <c r="C133" s="79">
        <f t="shared" si="15"/>
        <v>6960010.1942388946</v>
      </c>
      <c r="D133" s="77">
        <f t="shared" si="8"/>
        <v>106087.86919144379</v>
      </c>
      <c r="E133" s="74">
        <f t="shared" si="9"/>
        <v>0</v>
      </c>
      <c r="F133" s="77">
        <f t="shared" si="10"/>
        <v>106087.86919144379</v>
      </c>
      <c r="G133" s="77">
        <f t="shared" si="11"/>
        <v>24887.750258656684</v>
      </c>
      <c r="H133" s="77">
        <f t="shared" si="12"/>
        <v>81200.118932787111</v>
      </c>
      <c r="I133" s="77">
        <f t="shared" si="13"/>
        <v>6935122.4439802375</v>
      </c>
    </row>
    <row r="134" spans="1:9" ht="13.8">
      <c r="A134" s="75">
        <f>IF(Values_Entered,A133+1,"")</f>
        <v>117</v>
      </c>
      <c r="B134" s="78">
        <f t="shared" si="14"/>
        <v>48170</v>
      </c>
      <c r="C134" s="79">
        <f t="shared" si="15"/>
        <v>6935122.4439802375</v>
      </c>
      <c r="D134" s="77">
        <f t="shared" si="8"/>
        <v>106087.86919144379</v>
      </c>
      <c r="E134" s="74">
        <f t="shared" si="9"/>
        <v>0</v>
      </c>
      <c r="F134" s="77">
        <f t="shared" si="10"/>
        <v>106087.86919144379</v>
      </c>
      <c r="G134" s="77">
        <f t="shared" si="11"/>
        <v>25178.10734500768</v>
      </c>
      <c r="H134" s="77">
        <f t="shared" si="12"/>
        <v>80909.761846436115</v>
      </c>
      <c r="I134" s="77">
        <f t="shared" si="13"/>
        <v>6909944.3366352301</v>
      </c>
    </row>
    <row r="135" spans="1:9" ht="13.8">
      <c r="A135" s="75">
        <f>IF(Values_Entered,A134+1,"")</f>
        <v>118</v>
      </c>
      <c r="B135" s="78">
        <f t="shared" si="14"/>
        <v>48200</v>
      </c>
      <c r="C135" s="79">
        <f t="shared" si="15"/>
        <v>6909944.3366352301</v>
      </c>
      <c r="D135" s="77">
        <f t="shared" si="8"/>
        <v>106087.86919144379</v>
      </c>
      <c r="E135" s="74">
        <f t="shared" si="9"/>
        <v>0</v>
      </c>
      <c r="F135" s="77">
        <f t="shared" si="10"/>
        <v>106087.86919144379</v>
      </c>
      <c r="G135" s="77">
        <f t="shared" si="11"/>
        <v>25471.851930699428</v>
      </c>
      <c r="H135" s="77">
        <f t="shared" si="12"/>
        <v>80616.017260744367</v>
      </c>
      <c r="I135" s="77">
        <f t="shared" si="13"/>
        <v>6884472.4847045308</v>
      </c>
    </row>
    <row r="136" spans="1:9" ht="13.8">
      <c r="A136" s="75">
        <f>IF(Values_Entered,A135+1,"")</f>
        <v>119</v>
      </c>
      <c r="B136" s="78">
        <f t="shared" si="14"/>
        <v>48231</v>
      </c>
      <c r="C136" s="79">
        <f t="shared" si="15"/>
        <v>6884472.4847045308</v>
      </c>
      <c r="D136" s="77">
        <f t="shared" si="8"/>
        <v>106087.86919144379</v>
      </c>
      <c r="E136" s="74">
        <f t="shared" si="9"/>
        <v>0</v>
      </c>
      <c r="F136" s="77">
        <f t="shared" si="10"/>
        <v>106087.86919144379</v>
      </c>
      <c r="G136" s="77">
        <f t="shared" si="11"/>
        <v>25769.023536557594</v>
      </c>
      <c r="H136" s="77">
        <f t="shared" si="12"/>
        <v>80318.845654886201</v>
      </c>
      <c r="I136" s="77">
        <f t="shared" si="13"/>
        <v>6858703.4611679735</v>
      </c>
    </row>
    <row r="137" spans="1:9" ht="13.8">
      <c r="A137" s="75">
        <f>IF(Values_Entered,A136+1,"")</f>
        <v>120</v>
      </c>
      <c r="B137" s="78">
        <f t="shared" si="14"/>
        <v>48262</v>
      </c>
      <c r="C137" s="79">
        <f t="shared" si="15"/>
        <v>6858703.4611679735</v>
      </c>
      <c r="D137" s="77">
        <f t="shared" si="8"/>
        <v>106087.86919144379</v>
      </c>
      <c r="E137" s="74">
        <f t="shared" si="9"/>
        <v>0</v>
      </c>
      <c r="F137" s="77">
        <f t="shared" si="10"/>
        <v>106087.86919144379</v>
      </c>
      <c r="G137" s="77">
        <f t="shared" si="11"/>
        <v>26069.6621444841</v>
      </c>
      <c r="H137" s="77">
        <f t="shared" si="12"/>
        <v>80018.207046959695</v>
      </c>
      <c r="I137" s="77">
        <f t="shared" si="13"/>
        <v>6832633.7990234895</v>
      </c>
    </row>
    <row r="138" spans="1:9" ht="13.8">
      <c r="A138" s="75">
        <f>IF(Values_Entered,A137+1,"")</f>
        <v>121</v>
      </c>
      <c r="B138" s="78">
        <f t="shared" si="14"/>
        <v>48291</v>
      </c>
      <c r="C138" s="79">
        <f t="shared" si="15"/>
        <v>6832633.7990234895</v>
      </c>
      <c r="D138" s="77">
        <f t="shared" si="8"/>
        <v>106087.86919144379</v>
      </c>
      <c r="E138" s="74">
        <f t="shared" si="9"/>
        <v>0</v>
      </c>
      <c r="F138" s="77">
        <f t="shared" si="10"/>
        <v>106087.86919144379</v>
      </c>
      <c r="G138" s="77">
        <f t="shared" si="11"/>
        <v>26373.808202836401</v>
      </c>
      <c r="H138" s="77">
        <f t="shared" si="12"/>
        <v>79714.060988607394</v>
      </c>
      <c r="I138" s="77">
        <f t="shared" si="13"/>
        <v>6806259.9908206528</v>
      </c>
    </row>
    <row r="139" spans="1:9" ht="13.8">
      <c r="A139" s="75">
        <f>IF(Values_Entered,A138+1,"")</f>
        <v>122</v>
      </c>
      <c r="B139" s="78">
        <f t="shared" si="14"/>
        <v>48322</v>
      </c>
      <c r="C139" s="79">
        <f t="shared" si="15"/>
        <v>6806259.9908206528</v>
      </c>
      <c r="D139" s="77">
        <f t="shared" si="8"/>
        <v>106087.86919144379</v>
      </c>
      <c r="E139" s="74">
        <f t="shared" si="9"/>
        <v>0</v>
      </c>
      <c r="F139" s="77">
        <f t="shared" si="10"/>
        <v>106087.86919144379</v>
      </c>
      <c r="G139" s="77">
        <f t="shared" si="11"/>
        <v>26681.502631869502</v>
      </c>
      <c r="H139" s="77">
        <f t="shared" si="12"/>
        <v>79406.366559574293</v>
      </c>
      <c r="I139" s="77">
        <f t="shared" si="13"/>
        <v>6779578.4881887836</v>
      </c>
    </row>
    <row r="140" spans="1:9" ht="13.8">
      <c r="A140" s="75">
        <f>IF(Values_Entered,A139+1,"")</f>
        <v>123</v>
      </c>
      <c r="B140" s="78">
        <f t="shared" si="14"/>
        <v>48352</v>
      </c>
      <c r="C140" s="79">
        <f t="shared" si="15"/>
        <v>6779578.4881887836</v>
      </c>
      <c r="D140" s="77">
        <f t="shared" si="8"/>
        <v>106087.86919144379</v>
      </c>
      <c r="E140" s="74">
        <f t="shared" si="9"/>
        <v>0</v>
      </c>
      <c r="F140" s="77">
        <f t="shared" si="10"/>
        <v>106087.86919144379</v>
      </c>
      <c r="G140" s="77">
        <f t="shared" si="11"/>
        <v>26992.786829241319</v>
      </c>
      <c r="H140" s="77">
        <f t="shared" si="12"/>
        <v>79095.082362202476</v>
      </c>
      <c r="I140" s="77">
        <f t="shared" si="13"/>
        <v>6752585.7013595421</v>
      </c>
    </row>
    <row r="141" spans="1:9" ht="13.8">
      <c r="A141" s="75">
        <f>IF(Values_Entered,A140+1,"")</f>
        <v>124</v>
      </c>
      <c r="B141" s="78">
        <f t="shared" si="14"/>
        <v>48383</v>
      </c>
      <c r="C141" s="79">
        <f t="shared" si="15"/>
        <v>6752585.7013595421</v>
      </c>
      <c r="D141" s="77">
        <f t="shared" si="8"/>
        <v>106087.86919144379</v>
      </c>
      <c r="E141" s="74">
        <f t="shared" si="9"/>
        <v>0</v>
      </c>
      <c r="F141" s="77">
        <f t="shared" si="10"/>
        <v>106087.86919144379</v>
      </c>
      <c r="G141" s="77">
        <f t="shared" si="11"/>
        <v>27307.702675582463</v>
      </c>
      <c r="H141" s="77">
        <f t="shared" si="12"/>
        <v>78780.166515861332</v>
      </c>
      <c r="I141" s="77">
        <f t="shared" si="13"/>
        <v>6725277.9986839592</v>
      </c>
    </row>
    <row r="142" spans="1:9" ht="13.8">
      <c r="A142" s="75">
        <f>IF(Values_Entered,A141+1,"")</f>
        <v>125</v>
      </c>
      <c r="B142" s="78">
        <f t="shared" si="14"/>
        <v>48413</v>
      </c>
      <c r="C142" s="79">
        <f t="shared" si="15"/>
        <v>6725277.9986839592</v>
      </c>
      <c r="D142" s="77">
        <f t="shared" si="8"/>
        <v>106087.86919144379</v>
      </c>
      <c r="E142" s="74">
        <f t="shared" si="9"/>
        <v>0</v>
      </c>
      <c r="F142" s="77">
        <f t="shared" si="10"/>
        <v>106087.86919144379</v>
      </c>
      <c r="G142" s="77">
        <f t="shared" si="11"/>
        <v>27626.292540130933</v>
      </c>
      <c r="H142" s="77">
        <f t="shared" si="12"/>
        <v>78461.576651312862</v>
      </c>
      <c r="I142" s="77">
        <f t="shared" si="13"/>
        <v>6697651.7061438281</v>
      </c>
    </row>
    <row r="143" spans="1:9" ht="13.8">
      <c r="A143" s="75">
        <f>IF(Values_Entered,A142+1,"")</f>
        <v>126</v>
      </c>
      <c r="B143" s="78">
        <f t="shared" si="14"/>
        <v>48444</v>
      </c>
      <c r="C143" s="79">
        <f t="shared" si="15"/>
        <v>6697651.7061438281</v>
      </c>
      <c r="D143" s="77">
        <f t="shared" si="8"/>
        <v>106087.86919144379</v>
      </c>
      <c r="E143" s="74">
        <f t="shared" si="9"/>
        <v>0</v>
      </c>
      <c r="F143" s="77">
        <f t="shared" si="10"/>
        <v>106087.86919144379</v>
      </c>
      <c r="G143" s="77">
        <f t="shared" si="11"/>
        <v>27948.599286432465</v>
      </c>
      <c r="H143" s="77">
        <f t="shared" si="12"/>
        <v>78139.26990501133</v>
      </c>
      <c r="I143" s="77">
        <f t="shared" si="13"/>
        <v>6669703.1068573957</v>
      </c>
    </row>
    <row r="144" spans="1:9" ht="13.8">
      <c r="A144" s="75">
        <f>IF(Values_Entered,A143+1,"")</f>
        <v>127</v>
      </c>
      <c r="B144" s="78">
        <f t="shared" si="14"/>
        <v>48475</v>
      </c>
      <c r="C144" s="79">
        <f t="shared" si="15"/>
        <v>6669703.1068573957</v>
      </c>
      <c r="D144" s="77">
        <f t="shared" si="8"/>
        <v>106087.86919144379</v>
      </c>
      <c r="E144" s="74">
        <f t="shared" si="9"/>
        <v>0</v>
      </c>
      <c r="F144" s="77">
        <f t="shared" si="10"/>
        <v>106087.86919144379</v>
      </c>
      <c r="G144" s="77">
        <f t="shared" si="11"/>
        <v>28274.666278107499</v>
      </c>
      <c r="H144" s="77">
        <f t="shared" si="12"/>
        <v>77813.202913336296</v>
      </c>
      <c r="I144" s="77">
        <f t="shared" si="13"/>
        <v>6641428.4405792886</v>
      </c>
    </row>
    <row r="145" spans="1:9" ht="13.8">
      <c r="A145" s="75">
        <f>IF(Values_Entered,A144+1,"")</f>
        <v>128</v>
      </c>
      <c r="B145" s="78">
        <f t="shared" si="14"/>
        <v>48505</v>
      </c>
      <c r="C145" s="79">
        <f t="shared" si="15"/>
        <v>6641428.4405792886</v>
      </c>
      <c r="D145" s="77">
        <f t="shared" si="8"/>
        <v>106087.86919144379</v>
      </c>
      <c r="E145" s="74">
        <f t="shared" si="9"/>
        <v>0</v>
      </c>
      <c r="F145" s="77">
        <f t="shared" si="10"/>
        <v>106087.86919144379</v>
      </c>
      <c r="G145" s="77">
        <f t="shared" si="11"/>
        <v>28604.53738468542</v>
      </c>
      <c r="H145" s="77">
        <f t="shared" si="12"/>
        <v>77483.331806758375</v>
      </c>
      <c r="I145" s="77">
        <f t="shared" si="13"/>
        <v>6612823.9031946035</v>
      </c>
    </row>
    <row r="146" spans="1:9" ht="13.8">
      <c r="A146" s="75">
        <f>IF(Values_Entered,A145+1,"")</f>
        <v>129</v>
      </c>
      <c r="B146" s="78">
        <f t="shared" si="14"/>
        <v>48536</v>
      </c>
      <c r="C146" s="79">
        <f t="shared" si="15"/>
        <v>6612823.9031946035</v>
      </c>
      <c r="D146" s="77">
        <f t="shared" ref="D146:D209" si="16">IF(Pay_Num&lt;&gt;"",Scheduled_Monthly_Payment,"")</f>
        <v>106087.86919144379</v>
      </c>
      <c r="E146" s="74">
        <f t="shared" ref="E146:E209" si="17">IF(Pay_Num&lt;&gt;"",Scheduled_Extra_Payments,"")</f>
        <v>0</v>
      </c>
      <c r="F146" s="77">
        <f t="shared" ref="F146:F209" si="18">IF(Pay_Num&lt;&gt;"",Sched_Pay+Extra_Pay,"")</f>
        <v>106087.86919144379</v>
      </c>
      <c r="G146" s="77">
        <f t="shared" ref="G146:G209" si="19">IF(Pay_Num&lt;&gt;"",Total_Pay-Int,"")</f>
        <v>28938.256987506742</v>
      </c>
      <c r="H146" s="77">
        <f t="shared" ref="H146:H209" si="20">IF(Pay_Num&lt;&gt;"",Beg_Bal*Interest_Rate/12,"")</f>
        <v>77149.612203937053</v>
      </c>
      <c r="I146" s="77">
        <f t="shared" ref="I146:I209" si="21">IF(Pay_Num&lt;&gt;"",Beg_Bal-Princ,"")</f>
        <v>6583885.646207097</v>
      </c>
    </row>
    <row r="147" spans="1:9" ht="13.8">
      <c r="A147" s="75">
        <f>IF(Values_Entered,A146+1,"")</f>
        <v>130</v>
      </c>
      <c r="B147" s="78">
        <f t="shared" ref="B147:B210" si="22">IF(Pay_Num&lt;&gt;"",DATE(YEAR(B146),MONTH(B146)+1,DAY(B146)),"")</f>
        <v>48566</v>
      </c>
      <c r="C147" s="79">
        <f t="shared" ref="C147:C210" si="23">IF(Pay_Num&lt;&gt;"",I146,"")</f>
        <v>6583885.646207097</v>
      </c>
      <c r="D147" s="77">
        <f t="shared" si="16"/>
        <v>106087.86919144379</v>
      </c>
      <c r="E147" s="74">
        <f t="shared" si="17"/>
        <v>0</v>
      </c>
      <c r="F147" s="77">
        <f t="shared" si="18"/>
        <v>106087.86919144379</v>
      </c>
      <c r="G147" s="77">
        <f t="shared" si="19"/>
        <v>29275.869985694328</v>
      </c>
      <c r="H147" s="77">
        <f t="shared" si="20"/>
        <v>76811.999205749467</v>
      </c>
      <c r="I147" s="77">
        <f t="shared" si="21"/>
        <v>6554609.7762214029</v>
      </c>
    </row>
    <row r="148" spans="1:9" ht="13.8">
      <c r="A148" s="75">
        <f>IF(Values_Entered,A147+1,"")</f>
        <v>131</v>
      </c>
      <c r="B148" s="78">
        <f t="shared" si="22"/>
        <v>48597</v>
      </c>
      <c r="C148" s="79">
        <f t="shared" si="23"/>
        <v>6554609.7762214029</v>
      </c>
      <c r="D148" s="77">
        <f t="shared" si="16"/>
        <v>106087.86919144379</v>
      </c>
      <c r="E148" s="74">
        <f t="shared" si="17"/>
        <v>0</v>
      </c>
      <c r="F148" s="77">
        <f t="shared" si="18"/>
        <v>106087.86919144379</v>
      </c>
      <c r="G148" s="77">
        <f t="shared" si="19"/>
        <v>29617.421802194091</v>
      </c>
      <c r="H148" s="77">
        <f t="shared" si="20"/>
        <v>76470.447389249704</v>
      </c>
      <c r="I148" s="77">
        <f t="shared" si="21"/>
        <v>6524992.3544192091</v>
      </c>
    </row>
    <row r="149" spans="1:9" ht="13.8">
      <c r="A149" s="75">
        <f>IF(Values_Entered,A148+1,"")</f>
        <v>132</v>
      </c>
      <c r="B149" s="78">
        <f t="shared" si="22"/>
        <v>48628</v>
      </c>
      <c r="C149" s="79">
        <f t="shared" si="23"/>
        <v>6524992.3544192091</v>
      </c>
      <c r="D149" s="77">
        <f t="shared" si="16"/>
        <v>106087.86919144379</v>
      </c>
      <c r="E149" s="74">
        <f t="shared" si="17"/>
        <v>0</v>
      </c>
      <c r="F149" s="77">
        <f t="shared" si="18"/>
        <v>106087.86919144379</v>
      </c>
      <c r="G149" s="77">
        <f t="shared" si="19"/>
        <v>29962.958389886349</v>
      </c>
      <c r="H149" s="77">
        <f t="shared" si="20"/>
        <v>76124.910801557446</v>
      </c>
      <c r="I149" s="77">
        <f t="shared" si="21"/>
        <v>6495029.3960293224</v>
      </c>
    </row>
    <row r="150" spans="1:9" ht="13.8">
      <c r="A150" s="75">
        <f>IF(Values_Entered,A149+1,"")</f>
        <v>133</v>
      </c>
      <c r="B150" s="78">
        <f t="shared" si="22"/>
        <v>48656</v>
      </c>
      <c r="C150" s="79">
        <f t="shared" si="23"/>
        <v>6495029.3960293224</v>
      </c>
      <c r="D150" s="77">
        <f t="shared" si="16"/>
        <v>106087.86919144379</v>
      </c>
      <c r="E150" s="74">
        <f t="shared" si="17"/>
        <v>0</v>
      </c>
      <c r="F150" s="77">
        <f t="shared" si="18"/>
        <v>106087.86919144379</v>
      </c>
      <c r="G150" s="77">
        <f t="shared" si="19"/>
        <v>30312.526237768354</v>
      </c>
      <c r="H150" s="77">
        <f t="shared" si="20"/>
        <v>75775.342953675441</v>
      </c>
      <c r="I150" s="77">
        <f t="shared" si="21"/>
        <v>6464716.8697915543</v>
      </c>
    </row>
    <row r="151" spans="1:9" ht="13.8">
      <c r="A151" s="75">
        <f>IF(Values_Entered,A150+1,"")</f>
        <v>134</v>
      </c>
      <c r="B151" s="78">
        <f t="shared" si="22"/>
        <v>48687</v>
      </c>
      <c r="C151" s="79">
        <f t="shared" si="23"/>
        <v>6464716.8697915543</v>
      </c>
      <c r="D151" s="77">
        <f t="shared" si="16"/>
        <v>106087.86919144379</v>
      </c>
      <c r="E151" s="74">
        <f t="shared" si="17"/>
        <v>0</v>
      </c>
      <c r="F151" s="77">
        <f t="shared" si="18"/>
        <v>106087.86919144379</v>
      </c>
      <c r="G151" s="77">
        <f t="shared" si="19"/>
        <v>30666.17237720899</v>
      </c>
      <c r="H151" s="77">
        <f t="shared" si="20"/>
        <v>75421.696814234805</v>
      </c>
      <c r="I151" s="77">
        <f t="shared" si="21"/>
        <v>6434050.6974143451</v>
      </c>
    </row>
    <row r="152" spans="1:9" ht="13.8">
      <c r="A152" s="75">
        <f>IF(Values_Entered,A151+1,"")</f>
        <v>135</v>
      </c>
      <c r="B152" s="78">
        <f t="shared" si="22"/>
        <v>48717</v>
      </c>
      <c r="C152" s="79">
        <f t="shared" si="23"/>
        <v>6434050.6974143451</v>
      </c>
      <c r="D152" s="77">
        <f t="shared" si="16"/>
        <v>106087.86919144379</v>
      </c>
      <c r="E152" s="74">
        <f t="shared" si="17"/>
        <v>0</v>
      </c>
      <c r="F152" s="77">
        <f t="shared" si="18"/>
        <v>106087.86919144379</v>
      </c>
      <c r="G152" s="77">
        <f t="shared" si="19"/>
        <v>31023.944388276432</v>
      </c>
      <c r="H152" s="77">
        <f t="shared" si="20"/>
        <v>75063.924803167363</v>
      </c>
      <c r="I152" s="77">
        <f t="shared" si="21"/>
        <v>6403026.7530260682</v>
      </c>
    </row>
    <row r="153" spans="1:9" ht="13.8">
      <c r="A153" s="75">
        <f>IF(Values_Entered,A152+1,"")</f>
        <v>136</v>
      </c>
      <c r="B153" s="78">
        <f t="shared" si="22"/>
        <v>48748</v>
      </c>
      <c r="C153" s="79">
        <f t="shared" si="23"/>
        <v>6403026.7530260682</v>
      </c>
      <c r="D153" s="77">
        <f t="shared" si="16"/>
        <v>106087.86919144379</v>
      </c>
      <c r="E153" s="74">
        <f t="shared" si="17"/>
        <v>0</v>
      </c>
      <c r="F153" s="77">
        <f t="shared" si="18"/>
        <v>106087.86919144379</v>
      </c>
      <c r="G153" s="77">
        <f t="shared" si="19"/>
        <v>31385.890406139661</v>
      </c>
      <c r="H153" s="77">
        <f t="shared" si="20"/>
        <v>74701.978785304134</v>
      </c>
      <c r="I153" s="77">
        <f t="shared" si="21"/>
        <v>6371640.862619929</v>
      </c>
    </row>
    <row r="154" spans="1:9" ht="13.8">
      <c r="A154" s="75">
        <f>IF(Values_Entered,A153+1,"")</f>
        <v>137</v>
      </c>
      <c r="B154" s="78">
        <f t="shared" si="22"/>
        <v>48778</v>
      </c>
      <c r="C154" s="79">
        <f t="shared" si="23"/>
        <v>6371640.862619929</v>
      </c>
      <c r="D154" s="77">
        <f t="shared" si="16"/>
        <v>106087.86919144379</v>
      </c>
      <c r="E154" s="74">
        <f t="shared" si="17"/>
        <v>0</v>
      </c>
      <c r="F154" s="77">
        <f t="shared" si="18"/>
        <v>106087.86919144379</v>
      </c>
      <c r="G154" s="77">
        <f t="shared" si="19"/>
        <v>31752.05912754462</v>
      </c>
      <c r="H154" s="77">
        <f t="shared" si="20"/>
        <v>74335.810063899175</v>
      </c>
      <c r="I154" s="77">
        <f t="shared" si="21"/>
        <v>6339888.803492384</v>
      </c>
    </row>
    <row r="155" spans="1:9" ht="13.8">
      <c r="A155" s="75">
        <f>IF(Values_Entered,A154+1,"")</f>
        <v>138</v>
      </c>
      <c r="B155" s="78">
        <f t="shared" si="22"/>
        <v>48809</v>
      </c>
      <c r="C155" s="79">
        <f t="shared" si="23"/>
        <v>6339888.803492384</v>
      </c>
      <c r="D155" s="77">
        <f t="shared" si="16"/>
        <v>106087.86919144379</v>
      </c>
      <c r="E155" s="74">
        <f t="shared" si="17"/>
        <v>0</v>
      </c>
      <c r="F155" s="77">
        <f t="shared" si="18"/>
        <v>106087.86919144379</v>
      </c>
      <c r="G155" s="77">
        <f t="shared" si="19"/>
        <v>32122.49981736597</v>
      </c>
      <c r="H155" s="77">
        <f t="shared" si="20"/>
        <v>73965.369374077825</v>
      </c>
      <c r="I155" s="77">
        <f t="shared" si="21"/>
        <v>6307766.3036750183</v>
      </c>
    </row>
    <row r="156" spans="1:9" ht="13.8">
      <c r="A156" s="75">
        <f>IF(Values_Entered,A155+1,"")</f>
        <v>139</v>
      </c>
      <c r="B156" s="78">
        <f t="shared" si="22"/>
        <v>48840</v>
      </c>
      <c r="C156" s="79">
        <f t="shared" si="23"/>
        <v>6307766.3036750183</v>
      </c>
      <c r="D156" s="77">
        <f t="shared" si="16"/>
        <v>106087.86919144379</v>
      </c>
      <c r="E156" s="74">
        <f t="shared" si="17"/>
        <v>0</v>
      </c>
      <c r="F156" s="77">
        <f t="shared" si="18"/>
        <v>106087.86919144379</v>
      </c>
      <c r="G156" s="77">
        <f t="shared" si="19"/>
        <v>32497.262315235246</v>
      </c>
      <c r="H156" s="77">
        <f t="shared" si="20"/>
        <v>73590.606876208549</v>
      </c>
      <c r="I156" s="77">
        <f t="shared" si="21"/>
        <v>6275269.0413597832</v>
      </c>
    </row>
    <row r="157" spans="1:9" ht="13.8">
      <c r="A157" s="75">
        <f>IF(Values_Entered,A156+1,"")</f>
        <v>140</v>
      </c>
      <c r="B157" s="78">
        <f t="shared" si="22"/>
        <v>48870</v>
      </c>
      <c r="C157" s="79">
        <f t="shared" si="23"/>
        <v>6275269.0413597832</v>
      </c>
      <c r="D157" s="77">
        <f t="shared" si="16"/>
        <v>106087.86919144379</v>
      </c>
      <c r="E157" s="74">
        <f t="shared" si="17"/>
        <v>0</v>
      </c>
      <c r="F157" s="77">
        <f t="shared" si="18"/>
        <v>106087.86919144379</v>
      </c>
      <c r="G157" s="77">
        <f t="shared" si="19"/>
        <v>32876.397042246317</v>
      </c>
      <c r="H157" s="77">
        <f t="shared" si="20"/>
        <v>73211.472149197478</v>
      </c>
      <c r="I157" s="77">
        <f t="shared" si="21"/>
        <v>6242392.6443175366</v>
      </c>
    </row>
    <row r="158" spans="1:9" ht="13.8">
      <c r="A158" s="75">
        <f>IF(Values_Entered,A157+1,"")</f>
        <v>141</v>
      </c>
      <c r="B158" s="78">
        <f t="shared" si="22"/>
        <v>48901</v>
      </c>
      <c r="C158" s="79">
        <f t="shared" si="23"/>
        <v>6242392.6443175366</v>
      </c>
      <c r="D158" s="77">
        <f t="shared" si="16"/>
        <v>106087.86919144379</v>
      </c>
      <c r="E158" s="74">
        <f t="shared" si="17"/>
        <v>0</v>
      </c>
      <c r="F158" s="77">
        <f t="shared" si="18"/>
        <v>106087.86919144379</v>
      </c>
      <c r="G158" s="77">
        <f t="shared" si="19"/>
        <v>33259.95500773919</v>
      </c>
      <c r="H158" s="77">
        <f t="shared" si="20"/>
        <v>72827.914183704605</v>
      </c>
      <c r="I158" s="77">
        <f t="shared" si="21"/>
        <v>6209132.6893097972</v>
      </c>
    </row>
    <row r="159" spans="1:9" ht="13.8">
      <c r="A159" s="75">
        <f>IF(Values_Entered,A158+1,"")</f>
        <v>142</v>
      </c>
      <c r="B159" s="78">
        <f t="shared" si="22"/>
        <v>48931</v>
      </c>
      <c r="C159" s="79">
        <f t="shared" si="23"/>
        <v>6209132.6893097972</v>
      </c>
      <c r="D159" s="77">
        <f t="shared" si="16"/>
        <v>106087.86919144379</v>
      </c>
      <c r="E159" s="74">
        <f t="shared" si="17"/>
        <v>0</v>
      </c>
      <c r="F159" s="77">
        <f t="shared" si="18"/>
        <v>106087.86919144379</v>
      </c>
      <c r="G159" s="77">
        <f t="shared" si="19"/>
        <v>33647.987816162815</v>
      </c>
      <c r="H159" s="77">
        <f t="shared" si="20"/>
        <v>72439.88137528098</v>
      </c>
      <c r="I159" s="77">
        <f t="shared" si="21"/>
        <v>6175484.7014936348</v>
      </c>
    </row>
    <row r="160" spans="1:9" ht="13.8">
      <c r="A160" s="75">
        <f>IF(Values_Entered,A159+1,"")</f>
        <v>143</v>
      </c>
      <c r="B160" s="78">
        <f t="shared" si="22"/>
        <v>48962</v>
      </c>
      <c r="C160" s="79">
        <f t="shared" si="23"/>
        <v>6175484.7014936348</v>
      </c>
      <c r="D160" s="77">
        <f t="shared" si="16"/>
        <v>106087.86919144379</v>
      </c>
      <c r="E160" s="74">
        <f t="shared" si="17"/>
        <v>0</v>
      </c>
      <c r="F160" s="77">
        <f t="shared" si="18"/>
        <v>106087.86919144379</v>
      </c>
      <c r="G160" s="77">
        <f t="shared" si="19"/>
        <v>34040.547674018046</v>
      </c>
      <c r="H160" s="77">
        <f t="shared" si="20"/>
        <v>72047.321517425749</v>
      </c>
      <c r="I160" s="77">
        <f t="shared" si="21"/>
        <v>6141444.1538196169</v>
      </c>
    </row>
    <row r="161" spans="1:9" ht="13.8">
      <c r="A161" s="75">
        <f>IF(Values_Entered,A160+1,"")</f>
        <v>144</v>
      </c>
      <c r="B161" s="78">
        <f t="shared" si="22"/>
        <v>48993</v>
      </c>
      <c r="C161" s="79">
        <f t="shared" si="23"/>
        <v>6141444.1538196169</v>
      </c>
      <c r="D161" s="77">
        <f t="shared" si="16"/>
        <v>106087.86919144379</v>
      </c>
      <c r="E161" s="74">
        <f t="shared" si="17"/>
        <v>0</v>
      </c>
      <c r="F161" s="77">
        <f t="shared" si="18"/>
        <v>106087.86919144379</v>
      </c>
      <c r="G161" s="77">
        <f t="shared" si="19"/>
        <v>34437.687396881593</v>
      </c>
      <c r="H161" s="77">
        <f t="shared" si="20"/>
        <v>71650.181794562202</v>
      </c>
      <c r="I161" s="77">
        <f t="shared" si="21"/>
        <v>6107006.4664227357</v>
      </c>
    </row>
    <row r="162" spans="1:9" ht="13.8">
      <c r="A162" s="75">
        <f>IF(Values_Entered,A161+1,"")</f>
        <v>145</v>
      </c>
      <c r="B162" s="78">
        <f t="shared" si="22"/>
        <v>49021</v>
      </c>
      <c r="C162" s="79">
        <f t="shared" si="23"/>
        <v>6107006.4664227357</v>
      </c>
      <c r="D162" s="77">
        <f t="shared" si="16"/>
        <v>106087.86919144379</v>
      </c>
      <c r="E162" s="74">
        <f t="shared" si="17"/>
        <v>0</v>
      </c>
      <c r="F162" s="77">
        <f t="shared" si="18"/>
        <v>106087.86919144379</v>
      </c>
      <c r="G162" s="77">
        <f t="shared" si="19"/>
        <v>34839.460416511865</v>
      </c>
      <c r="H162" s="77">
        <f t="shared" si="20"/>
        <v>71248.40877493193</v>
      </c>
      <c r="I162" s="77">
        <f t="shared" si="21"/>
        <v>6072167.0060062241</v>
      </c>
    </row>
    <row r="163" spans="1:9" ht="13.8">
      <c r="A163" s="75">
        <f>IF(Values_Entered,A162+1,"")</f>
        <v>146</v>
      </c>
      <c r="B163" s="78">
        <f t="shared" si="22"/>
        <v>49052</v>
      </c>
      <c r="C163" s="79">
        <f t="shared" si="23"/>
        <v>6072167.0060062241</v>
      </c>
      <c r="D163" s="77">
        <f t="shared" si="16"/>
        <v>106087.86919144379</v>
      </c>
      <c r="E163" s="74">
        <f t="shared" si="17"/>
        <v>0</v>
      </c>
      <c r="F163" s="77">
        <f t="shared" si="18"/>
        <v>106087.86919144379</v>
      </c>
      <c r="G163" s="77">
        <f t="shared" si="19"/>
        <v>35245.920788037838</v>
      </c>
      <c r="H163" s="77">
        <f t="shared" si="20"/>
        <v>70841.948403405957</v>
      </c>
      <c r="I163" s="77">
        <f t="shared" si="21"/>
        <v>6036921.0852181865</v>
      </c>
    </row>
    <row r="164" spans="1:9" ht="13.8">
      <c r="A164" s="75">
        <f>IF(Values_Entered,A163+1,"")</f>
        <v>147</v>
      </c>
      <c r="B164" s="78">
        <f t="shared" si="22"/>
        <v>49082</v>
      </c>
      <c r="C164" s="79">
        <f t="shared" si="23"/>
        <v>6036921.0852181865</v>
      </c>
      <c r="D164" s="77">
        <f t="shared" si="16"/>
        <v>106087.86919144379</v>
      </c>
      <c r="E164" s="74">
        <f t="shared" si="17"/>
        <v>0</v>
      </c>
      <c r="F164" s="77">
        <f t="shared" si="18"/>
        <v>106087.86919144379</v>
      </c>
      <c r="G164" s="77">
        <f t="shared" si="19"/>
        <v>35657.123197231616</v>
      </c>
      <c r="H164" s="77">
        <f t="shared" si="20"/>
        <v>70430.745994212179</v>
      </c>
      <c r="I164" s="77">
        <f t="shared" si="21"/>
        <v>6001263.962020955</v>
      </c>
    </row>
    <row r="165" spans="1:9" ht="13.8">
      <c r="A165" s="75">
        <f>IF(Values_Entered,A164+1,"")</f>
        <v>148</v>
      </c>
      <c r="B165" s="78">
        <f t="shared" si="22"/>
        <v>49113</v>
      </c>
      <c r="C165" s="79">
        <f t="shared" si="23"/>
        <v>6001263.962020955</v>
      </c>
      <c r="D165" s="77">
        <f t="shared" si="16"/>
        <v>106087.86919144379</v>
      </c>
      <c r="E165" s="74">
        <f t="shared" si="17"/>
        <v>0</v>
      </c>
      <c r="F165" s="77">
        <f t="shared" si="18"/>
        <v>106087.86919144379</v>
      </c>
      <c r="G165" s="77">
        <f t="shared" si="19"/>
        <v>36073.122967865987</v>
      </c>
      <c r="H165" s="77">
        <f t="shared" si="20"/>
        <v>70014.746223577808</v>
      </c>
      <c r="I165" s="77">
        <f t="shared" si="21"/>
        <v>5965190.8390530888</v>
      </c>
    </row>
    <row r="166" spans="1:9" ht="13.8">
      <c r="A166" s="75">
        <f>IF(Values_Entered,A165+1,"")</f>
        <v>149</v>
      </c>
      <c r="B166" s="78">
        <f t="shared" si="22"/>
        <v>49143</v>
      </c>
      <c r="C166" s="79">
        <f t="shared" si="23"/>
        <v>5965190.8390530888</v>
      </c>
      <c r="D166" s="77">
        <f t="shared" si="16"/>
        <v>106087.86919144379</v>
      </c>
      <c r="E166" s="74">
        <f t="shared" si="17"/>
        <v>0</v>
      </c>
      <c r="F166" s="77">
        <f t="shared" si="18"/>
        <v>106087.86919144379</v>
      </c>
      <c r="G166" s="77">
        <f t="shared" si="19"/>
        <v>36493.976069157754</v>
      </c>
      <c r="H166" s="77">
        <f t="shared" si="20"/>
        <v>69593.893122286041</v>
      </c>
      <c r="I166" s="77">
        <f t="shared" si="21"/>
        <v>5928696.8629839309</v>
      </c>
    </row>
    <row r="167" spans="1:9" ht="13.8">
      <c r="A167" s="75">
        <f>IF(Values_Entered,A166+1,"")</f>
        <v>150</v>
      </c>
      <c r="B167" s="78">
        <f t="shared" si="22"/>
        <v>49174</v>
      </c>
      <c r="C167" s="79">
        <f t="shared" si="23"/>
        <v>5928696.8629839309</v>
      </c>
      <c r="D167" s="77">
        <f t="shared" si="16"/>
        <v>106087.86919144379</v>
      </c>
      <c r="E167" s="74">
        <f t="shared" si="17"/>
        <v>0</v>
      </c>
      <c r="F167" s="77">
        <f t="shared" si="18"/>
        <v>106087.86919144379</v>
      </c>
      <c r="G167" s="77">
        <f t="shared" si="19"/>
        <v>36919.739123297928</v>
      </c>
      <c r="H167" s="77">
        <f t="shared" si="20"/>
        <v>69168.130068145867</v>
      </c>
      <c r="I167" s="77">
        <f t="shared" si="21"/>
        <v>5891777.123860633</v>
      </c>
    </row>
    <row r="168" spans="1:9" ht="13.8">
      <c r="A168" s="75">
        <f>IF(Values_Entered,A167+1,"")</f>
        <v>151</v>
      </c>
      <c r="B168" s="78">
        <f t="shared" si="22"/>
        <v>49205</v>
      </c>
      <c r="C168" s="79">
        <f t="shared" si="23"/>
        <v>5891777.123860633</v>
      </c>
      <c r="D168" s="77">
        <f t="shared" si="16"/>
        <v>106087.86919144379</v>
      </c>
      <c r="E168" s="74">
        <f t="shared" si="17"/>
        <v>0</v>
      </c>
      <c r="F168" s="77">
        <f t="shared" si="18"/>
        <v>106087.86919144379</v>
      </c>
      <c r="G168" s="77">
        <f t="shared" si="19"/>
        <v>37350.469413069746</v>
      </c>
      <c r="H168" s="77">
        <f t="shared" si="20"/>
        <v>68737.399778374049</v>
      </c>
      <c r="I168" s="77">
        <f t="shared" si="21"/>
        <v>5854426.654447563</v>
      </c>
    </row>
    <row r="169" spans="1:9" ht="13.8">
      <c r="A169" s="75">
        <f>IF(Values_Entered,A168+1,"")</f>
        <v>152</v>
      </c>
      <c r="B169" s="78">
        <f t="shared" si="22"/>
        <v>49235</v>
      </c>
      <c r="C169" s="79">
        <f t="shared" si="23"/>
        <v>5854426.654447563</v>
      </c>
      <c r="D169" s="77">
        <f t="shared" si="16"/>
        <v>106087.86919144379</v>
      </c>
      <c r="E169" s="74">
        <f t="shared" si="17"/>
        <v>0</v>
      </c>
      <c r="F169" s="77">
        <f t="shared" si="18"/>
        <v>106087.86919144379</v>
      </c>
      <c r="G169" s="77">
        <f t="shared" si="19"/>
        <v>37786.224889555553</v>
      </c>
      <c r="H169" s="77">
        <f t="shared" si="20"/>
        <v>68301.644301888242</v>
      </c>
      <c r="I169" s="77">
        <f t="shared" si="21"/>
        <v>5816640.429558007</v>
      </c>
    </row>
    <row r="170" spans="1:9" ht="13.8">
      <c r="A170" s="75">
        <f>IF(Values_Entered,A169+1,"")</f>
        <v>153</v>
      </c>
      <c r="B170" s="78">
        <f t="shared" si="22"/>
        <v>49266</v>
      </c>
      <c r="C170" s="79">
        <f t="shared" si="23"/>
        <v>5816640.429558007</v>
      </c>
      <c r="D170" s="77">
        <f t="shared" si="16"/>
        <v>106087.86919144379</v>
      </c>
      <c r="E170" s="74">
        <f t="shared" si="17"/>
        <v>0</v>
      </c>
      <c r="F170" s="77">
        <f t="shared" si="18"/>
        <v>106087.86919144379</v>
      </c>
      <c r="G170" s="77">
        <f t="shared" si="19"/>
        <v>38227.064179933703</v>
      </c>
      <c r="H170" s="77">
        <f t="shared" si="20"/>
        <v>67860.805011510092</v>
      </c>
      <c r="I170" s="77">
        <f t="shared" si="21"/>
        <v>5778413.3653780734</v>
      </c>
    </row>
    <row r="171" spans="1:9" ht="13.8">
      <c r="A171" s="75">
        <f>IF(Values_Entered,A170+1,"")</f>
        <v>154</v>
      </c>
      <c r="B171" s="78">
        <f t="shared" si="22"/>
        <v>49296</v>
      </c>
      <c r="C171" s="79">
        <f t="shared" si="23"/>
        <v>5778413.3653780734</v>
      </c>
      <c r="D171" s="77">
        <f t="shared" si="16"/>
        <v>106087.86919144379</v>
      </c>
      <c r="E171" s="74">
        <f t="shared" si="17"/>
        <v>0</v>
      </c>
      <c r="F171" s="77">
        <f t="shared" si="18"/>
        <v>106087.86919144379</v>
      </c>
      <c r="G171" s="77">
        <f t="shared" si="19"/>
        <v>38673.046595366264</v>
      </c>
      <c r="H171" s="77">
        <f t="shared" si="20"/>
        <v>67414.822596077531</v>
      </c>
      <c r="I171" s="77">
        <f t="shared" si="21"/>
        <v>5739740.3187827067</v>
      </c>
    </row>
    <row r="172" spans="1:9" ht="13.8">
      <c r="A172" s="75">
        <f>IF(Values_Entered,A171+1,"")</f>
        <v>155</v>
      </c>
      <c r="B172" s="78">
        <f t="shared" si="22"/>
        <v>49327</v>
      </c>
      <c r="C172" s="79">
        <f t="shared" si="23"/>
        <v>5739740.3187827067</v>
      </c>
      <c r="D172" s="77">
        <f t="shared" si="16"/>
        <v>106087.86919144379</v>
      </c>
      <c r="E172" s="74">
        <f t="shared" si="17"/>
        <v>0</v>
      </c>
      <c r="F172" s="77">
        <f t="shared" si="18"/>
        <v>106087.86919144379</v>
      </c>
      <c r="G172" s="77">
        <f t="shared" si="19"/>
        <v>39124.23213897887</v>
      </c>
      <c r="H172" s="77">
        <f t="shared" si="20"/>
        <v>66963.637052464925</v>
      </c>
      <c r="I172" s="77">
        <f t="shared" si="21"/>
        <v>5700616.0866437275</v>
      </c>
    </row>
    <row r="173" spans="1:9" ht="13.8">
      <c r="A173" s="75">
        <f>IF(Values_Entered,A172+1,"")</f>
        <v>156</v>
      </c>
      <c r="B173" s="78">
        <f t="shared" si="22"/>
        <v>49358</v>
      </c>
      <c r="C173" s="79">
        <f t="shared" si="23"/>
        <v>5700616.0866437275</v>
      </c>
      <c r="D173" s="77">
        <f t="shared" si="16"/>
        <v>106087.86919144379</v>
      </c>
      <c r="E173" s="74">
        <f t="shared" si="17"/>
        <v>0</v>
      </c>
      <c r="F173" s="77">
        <f t="shared" si="18"/>
        <v>106087.86919144379</v>
      </c>
      <c r="G173" s="77">
        <f t="shared" si="19"/>
        <v>39580.68151393364</v>
      </c>
      <c r="H173" s="77">
        <f t="shared" si="20"/>
        <v>66507.187677510155</v>
      </c>
      <c r="I173" s="77">
        <f t="shared" si="21"/>
        <v>5661035.405129794</v>
      </c>
    </row>
    <row r="174" spans="1:9" ht="13.8">
      <c r="A174" s="75">
        <f>IF(Values_Entered,A173+1,"")</f>
        <v>157</v>
      </c>
      <c r="B174" s="78">
        <f t="shared" si="22"/>
        <v>49386</v>
      </c>
      <c r="C174" s="79">
        <f t="shared" si="23"/>
        <v>5661035.405129794</v>
      </c>
      <c r="D174" s="77">
        <f t="shared" si="16"/>
        <v>106087.86919144379</v>
      </c>
      <c r="E174" s="74">
        <f t="shared" si="17"/>
        <v>0</v>
      </c>
      <c r="F174" s="77">
        <f t="shared" si="18"/>
        <v>106087.86919144379</v>
      </c>
      <c r="G174" s="77">
        <f t="shared" si="19"/>
        <v>40042.456131596191</v>
      </c>
      <c r="H174" s="77">
        <f t="shared" si="20"/>
        <v>66045.413059847604</v>
      </c>
      <c r="I174" s="77">
        <f t="shared" si="21"/>
        <v>5620992.9489981979</v>
      </c>
    </row>
    <row r="175" spans="1:9" ht="13.8">
      <c r="A175" s="75">
        <f>IF(Values_Entered,A174+1,"")</f>
        <v>158</v>
      </c>
      <c r="B175" s="78">
        <f t="shared" si="22"/>
        <v>49417</v>
      </c>
      <c r="C175" s="79">
        <f t="shared" si="23"/>
        <v>5620992.9489981979</v>
      </c>
      <c r="D175" s="77">
        <f t="shared" si="16"/>
        <v>106087.86919144379</v>
      </c>
      <c r="E175" s="74">
        <f t="shared" si="17"/>
        <v>0</v>
      </c>
      <c r="F175" s="77">
        <f t="shared" si="18"/>
        <v>106087.86919144379</v>
      </c>
      <c r="G175" s="77">
        <f t="shared" si="19"/>
        <v>40509.61811979815</v>
      </c>
      <c r="H175" s="77">
        <f t="shared" si="20"/>
        <v>65578.251071645645</v>
      </c>
      <c r="I175" s="77">
        <f t="shared" si="21"/>
        <v>5580483.3308783993</v>
      </c>
    </row>
    <row r="176" spans="1:9" ht="13.8">
      <c r="A176" s="75">
        <f>IF(Values_Entered,A175+1,"")</f>
        <v>159</v>
      </c>
      <c r="B176" s="78">
        <f t="shared" si="22"/>
        <v>49447</v>
      </c>
      <c r="C176" s="79">
        <f t="shared" si="23"/>
        <v>5580483.3308783993</v>
      </c>
      <c r="D176" s="77">
        <f t="shared" si="16"/>
        <v>106087.86919144379</v>
      </c>
      <c r="E176" s="74">
        <f t="shared" si="17"/>
        <v>0</v>
      </c>
      <c r="F176" s="77">
        <f t="shared" si="18"/>
        <v>106087.86919144379</v>
      </c>
      <c r="G176" s="77">
        <f t="shared" si="19"/>
        <v>40982.230331195795</v>
      </c>
      <c r="H176" s="77">
        <f t="shared" si="20"/>
        <v>65105.638860248</v>
      </c>
      <c r="I176" s="77">
        <f t="shared" si="21"/>
        <v>5539501.1005472038</v>
      </c>
    </row>
    <row r="177" spans="1:9" ht="13.8">
      <c r="A177" s="75">
        <f>IF(Values_Entered,A176+1,"")</f>
        <v>160</v>
      </c>
      <c r="B177" s="78">
        <f t="shared" si="22"/>
        <v>49478</v>
      </c>
      <c r="C177" s="79">
        <f t="shared" si="23"/>
        <v>5539501.1005472038</v>
      </c>
      <c r="D177" s="77">
        <f t="shared" si="16"/>
        <v>106087.86919144379</v>
      </c>
      <c r="E177" s="74">
        <f t="shared" si="17"/>
        <v>0</v>
      </c>
      <c r="F177" s="77">
        <f t="shared" si="18"/>
        <v>106087.86919144379</v>
      </c>
      <c r="G177" s="77">
        <f t="shared" si="19"/>
        <v>41460.356351726412</v>
      </c>
      <c r="H177" s="77">
        <f t="shared" si="20"/>
        <v>64627.512839717383</v>
      </c>
      <c r="I177" s="77">
        <f t="shared" si="21"/>
        <v>5498040.7441954771</v>
      </c>
    </row>
    <row r="178" spans="1:9" ht="13.8">
      <c r="A178" s="75">
        <f>IF(Values_Entered,A177+1,"")</f>
        <v>161</v>
      </c>
      <c r="B178" s="78">
        <f t="shared" si="22"/>
        <v>49508</v>
      </c>
      <c r="C178" s="79">
        <f t="shared" si="23"/>
        <v>5498040.7441954771</v>
      </c>
      <c r="D178" s="77">
        <f t="shared" si="16"/>
        <v>106087.86919144379</v>
      </c>
      <c r="E178" s="74">
        <f t="shared" si="17"/>
        <v>0</v>
      </c>
      <c r="F178" s="77">
        <f t="shared" si="18"/>
        <v>106087.86919144379</v>
      </c>
      <c r="G178" s="77">
        <f t="shared" si="19"/>
        <v>41944.060509163224</v>
      </c>
      <c r="H178" s="77">
        <f t="shared" si="20"/>
        <v>64143.808682280571</v>
      </c>
      <c r="I178" s="77">
        <f t="shared" si="21"/>
        <v>5456096.6836863142</v>
      </c>
    </row>
    <row r="179" spans="1:9" ht="13.8">
      <c r="A179" s="75">
        <f>IF(Values_Entered,A178+1,"")</f>
        <v>162</v>
      </c>
      <c r="B179" s="78">
        <f t="shared" si="22"/>
        <v>49539</v>
      </c>
      <c r="C179" s="79">
        <f t="shared" si="23"/>
        <v>5456096.6836863142</v>
      </c>
      <c r="D179" s="77">
        <f t="shared" si="16"/>
        <v>106087.86919144379</v>
      </c>
      <c r="E179" s="74">
        <f t="shared" si="17"/>
        <v>0</v>
      </c>
      <c r="F179" s="77">
        <f t="shared" si="18"/>
        <v>106087.86919144379</v>
      </c>
      <c r="G179" s="77">
        <f t="shared" si="19"/>
        <v>42433.407881770123</v>
      </c>
      <c r="H179" s="77">
        <f t="shared" si="20"/>
        <v>63654.461309673672</v>
      </c>
      <c r="I179" s="77">
        <f t="shared" si="21"/>
        <v>5413663.2758045439</v>
      </c>
    </row>
    <row r="180" spans="1:9" ht="13.8">
      <c r="A180" s="75">
        <f>IF(Values_Entered,A179+1,"")</f>
        <v>163</v>
      </c>
      <c r="B180" s="78">
        <f t="shared" si="22"/>
        <v>49570</v>
      </c>
      <c r="C180" s="79">
        <f t="shared" si="23"/>
        <v>5413663.2758045439</v>
      </c>
      <c r="D180" s="77">
        <f t="shared" si="16"/>
        <v>106087.86919144379</v>
      </c>
      <c r="E180" s="74">
        <f t="shared" si="17"/>
        <v>0</v>
      </c>
      <c r="F180" s="77">
        <f t="shared" si="18"/>
        <v>106087.86919144379</v>
      </c>
      <c r="G180" s="77">
        <f t="shared" si="19"/>
        <v>42928.464307057446</v>
      </c>
      <c r="H180" s="77">
        <f t="shared" si="20"/>
        <v>63159.404884386349</v>
      </c>
      <c r="I180" s="77">
        <f t="shared" si="21"/>
        <v>5370734.8114974862</v>
      </c>
    </row>
    <row r="181" spans="1:9" ht="13.8">
      <c r="A181" s="75">
        <f>IF(Values_Entered,A180+1,"")</f>
        <v>164</v>
      </c>
      <c r="B181" s="78">
        <f t="shared" si="22"/>
        <v>49600</v>
      </c>
      <c r="C181" s="79">
        <f t="shared" si="23"/>
        <v>5370734.8114974862</v>
      </c>
      <c r="D181" s="77">
        <f t="shared" si="16"/>
        <v>106087.86919144379</v>
      </c>
      <c r="E181" s="74">
        <f t="shared" si="17"/>
        <v>0</v>
      </c>
      <c r="F181" s="77">
        <f t="shared" si="18"/>
        <v>106087.86919144379</v>
      </c>
      <c r="G181" s="77">
        <f t="shared" si="19"/>
        <v>43429.296390639785</v>
      </c>
      <c r="H181" s="77">
        <f t="shared" si="20"/>
        <v>62658.57280080401</v>
      </c>
      <c r="I181" s="77">
        <f t="shared" si="21"/>
        <v>5327305.5151068466</v>
      </c>
    </row>
    <row r="182" spans="1:9" ht="13.8">
      <c r="A182" s="75">
        <f>IF(Values_Entered,A181+1,"")</f>
        <v>165</v>
      </c>
      <c r="B182" s="78">
        <f t="shared" si="22"/>
        <v>49631</v>
      </c>
      <c r="C182" s="79">
        <f t="shared" si="23"/>
        <v>5327305.5151068466</v>
      </c>
      <c r="D182" s="77">
        <f t="shared" si="16"/>
        <v>106087.86919144379</v>
      </c>
      <c r="E182" s="74">
        <f t="shared" si="17"/>
        <v>0</v>
      </c>
      <c r="F182" s="77">
        <f t="shared" si="18"/>
        <v>106087.86919144379</v>
      </c>
      <c r="G182" s="77">
        <f t="shared" si="19"/>
        <v>43935.971515197241</v>
      </c>
      <c r="H182" s="77">
        <f t="shared" si="20"/>
        <v>62151.897676246554</v>
      </c>
      <c r="I182" s="77">
        <f t="shared" si="21"/>
        <v>5283369.5435916493</v>
      </c>
    </row>
    <row r="183" spans="1:9" ht="13.8">
      <c r="A183" s="75">
        <f>IF(Values_Entered,A182+1,"")</f>
        <v>166</v>
      </c>
      <c r="B183" s="78">
        <f t="shared" si="22"/>
        <v>49661</v>
      </c>
      <c r="C183" s="79">
        <f t="shared" si="23"/>
        <v>5283369.5435916493</v>
      </c>
      <c r="D183" s="77">
        <f t="shared" si="16"/>
        <v>106087.86919144379</v>
      </c>
      <c r="E183" s="74">
        <f t="shared" si="17"/>
        <v>0</v>
      </c>
      <c r="F183" s="77">
        <f t="shared" si="18"/>
        <v>106087.86919144379</v>
      </c>
      <c r="G183" s="77">
        <f t="shared" si="19"/>
        <v>44448.557849541212</v>
      </c>
      <c r="H183" s="77">
        <f t="shared" si="20"/>
        <v>61639.311341902583</v>
      </c>
      <c r="I183" s="77">
        <f t="shared" si="21"/>
        <v>5238920.985742108</v>
      </c>
    </row>
    <row r="184" spans="1:9" ht="13.8">
      <c r="A184" s="75">
        <f>IF(Values_Entered,A183+1,"")</f>
        <v>167</v>
      </c>
      <c r="B184" s="78">
        <f t="shared" si="22"/>
        <v>49692</v>
      </c>
      <c r="C184" s="79">
        <f t="shared" si="23"/>
        <v>5238920.985742108</v>
      </c>
      <c r="D184" s="77">
        <f t="shared" si="16"/>
        <v>106087.86919144379</v>
      </c>
      <c r="E184" s="74">
        <f t="shared" si="17"/>
        <v>0</v>
      </c>
      <c r="F184" s="77">
        <f t="shared" si="18"/>
        <v>106087.86919144379</v>
      </c>
      <c r="G184" s="77">
        <f t="shared" si="19"/>
        <v>44967.124357785862</v>
      </c>
      <c r="H184" s="77">
        <f t="shared" si="20"/>
        <v>61120.744833657933</v>
      </c>
      <c r="I184" s="77">
        <f t="shared" si="21"/>
        <v>5193953.8613843219</v>
      </c>
    </row>
    <row r="185" spans="1:9" ht="13.8">
      <c r="A185" s="75">
        <f>IF(Values_Entered,A184+1,"")</f>
        <v>168</v>
      </c>
      <c r="B185" s="78">
        <f t="shared" si="22"/>
        <v>49723</v>
      </c>
      <c r="C185" s="79">
        <f t="shared" si="23"/>
        <v>5193953.8613843219</v>
      </c>
      <c r="D185" s="77">
        <f t="shared" si="16"/>
        <v>106087.86919144379</v>
      </c>
      <c r="E185" s="74">
        <f t="shared" si="17"/>
        <v>0</v>
      </c>
      <c r="F185" s="77">
        <f t="shared" si="18"/>
        <v>106087.86919144379</v>
      </c>
      <c r="G185" s="77">
        <f t="shared" si="19"/>
        <v>45491.740808626702</v>
      </c>
      <c r="H185" s="77">
        <f t="shared" si="20"/>
        <v>60596.128382817093</v>
      </c>
      <c r="I185" s="77">
        <f t="shared" si="21"/>
        <v>5148462.1205756953</v>
      </c>
    </row>
    <row r="186" spans="1:9" ht="13.8">
      <c r="A186" s="75">
        <f>IF(Values_Entered,A185+1,"")</f>
        <v>169</v>
      </c>
      <c r="B186" s="78">
        <f t="shared" si="22"/>
        <v>49752</v>
      </c>
      <c r="C186" s="79">
        <f t="shared" si="23"/>
        <v>5148462.1205756953</v>
      </c>
      <c r="D186" s="77">
        <f t="shared" si="16"/>
        <v>106087.86919144379</v>
      </c>
      <c r="E186" s="74">
        <f t="shared" si="17"/>
        <v>0</v>
      </c>
      <c r="F186" s="77">
        <f t="shared" si="18"/>
        <v>106087.86919144379</v>
      </c>
      <c r="G186" s="77">
        <f t="shared" si="19"/>
        <v>46022.477784727344</v>
      </c>
      <c r="H186" s="77">
        <f t="shared" si="20"/>
        <v>60065.391406716451</v>
      </c>
      <c r="I186" s="77">
        <f t="shared" si="21"/>
        <v>5102439.6427909676</v>
      </c>
    </row>
    <row r="187" spans="1:9" ht="13.8">
      <c r="A187" s="75">
        <f>IF(Values_Entered,A186+1,"")</f>
        <v>170</v>
      </c>
      <c r="B187" s="78">
        <f t="shared" si="22"/>
        <v>49783</v>
      </c>
      <c r="C187" s="79">
        <f t="shared" si="23"/>
        <v>5102439.6427909676</v>
      </c>
      <c r="D187" s="77">
        <f t="shared" si="16"/>
        <v>106087.86919144379</v>
      </c>
      <c r="E187" s="74">
        <f t="shared" si="17"/>
        <v>0</v>
      </c>
      <c r="F187" s="77">
        <f t="shared" si="18"/>
        <v>106087.86919144379</v>
      </c>
      <c r="G187" s="77">
        <f t="shared" si="19"/>
        <v>46559.406692215838</v>
      </c>
      <c r="H187" s="77">
        <f t="shared" si="20"/>
        <v>59528.462499227957</v>
      </c>
      <c r="I187" s="77">
        <f t="shared" si="21"/>
        <v>5055880.2360987514</v>
      </c>
    </row>
    <row r="188" spans="1:9" ht="13.8">
      <c r="A188" s="75">
        <f>IF(Values_Entered,A187+1,"")</f>
        <v>171</v>
      </c>
      <c r="B188" s="78">
        <f t="shared" si="22"/>
        <v>49813</v>
      </c>
      <c r="C188" s="79">
        <f t="shared" si="23"/>
        <v>5055880.2360987514</v>
      </c>
      <c r="D188" s="77">
        <f t="shared" si="16"/>
        <v>106087.86919144379</v>
      </c>
      <c r="E188" s="74">
        <f t="shared" si="17"/>
        <v>0</v>
      </c>
      <c r="F188" s="77">
        <f t="shared" si="18"/>
        <v>106087.86919144379</v>
      </c>
      <c r="G188" s="77">
        <f t="shared" si="19"/>
        <v>47102.599770291694</v>
      </c>
      <c r="H188" s="77">
        <f t="shared" si="20"/>
        <v>58985.269421152101</v>
      </c>
      <c r="I188" s="77">
        <f t="shared" si="21"/>
        <v>5008777.6363284597</v>
      </c>
    </row>
    <row r="189" spans="1:9" ht="13.8">
      <c r="A189" s="75">
        <f>IF(Values_Entered,A188+1,"")</f>
        <v>172</v>
      </c>
      <c r="B189" s="78">
        <f t="shared" si="22"/>
        <v>49844</v>
      </c>
      <c r="C189" s="79">
        <f t="shared" si="23"/>
        <v>5008777.6363284597</v>
      </c>
      <c r="D189" s="77">
        <f t="shared" si="16"/>
        <v>106087.86919144379</v>
      </c>
      <c r="E189" s="74">
        <f t="shared" si="17"/>
        <v>0</v>
      </c>
      <c r="F189" s="77">
        <f t="shared" si="18"/>
        <v>106087.86919144379</v>
      </c>
      <c r="G189" s="77">
        <f t="shared" si="19"/>
        <v>47652.130100945091</v>
      </c>
      <c r="H189" s="77">
        <f t="shared" si="20"/>
        <v>58435.739090498704</v>
      </c>
      <c r="I189" s="77">
        <f t="shared" si="21"/>
        <v>4961125.5062275147</v>
      </c>
    </row>
    <row r="190" spans="1:9" ht="13.8">
      <c r="A190" s="75">
        <f>IF(Values_Entered,A189+1,"")</f>
        <v>173</v>
      </c>
      <c r="B190" s="78">
        <f t="shared" si="22"/>
        <v>49874</v>
      </c>
      <c r="C190" s="79">
        <f t="shared" si="23"/>
        <v>4961125.5062275147</v>
      </c>
      <c r="D190" s="77">
        <f t="shared" si="16"/>
        <v>106087.86919144379</v>
      </c>
      <c r="E190" s="74">
        <f t="shared" si="17"/>
        <v>0</v>
      </c>
      <c r="F190" s="77">
        <f t="shared" si="18"/>
        <v>106087.86919144379</v>
      </c>
      <c r="G190" s="77">
        <f t="shared" si="19"/>
        <v>48208.07161878945</v>
      </c>
      <c r="H190" s="77">
        <f t="shared" si="20"/>
        <v>57879.797572654345</v>
      </c>
      <c r="I190" s="77">
        <f t="shared" si="21"/>
        <v>4912917.4346087249</v>
      </c>
    </row>
    <row r="191" spans="1:9" ht="13.8">
      <c r="A191" s="75">
        <f>IF(Values_Entered,A190+1,"")</f>
        <v>174</v>
      </c>
      <c r="B191" s="78">
        <f t="shared" si="22"/>
        <v>49905</v>
      </c>
      <c r="C191" s="79">
        <f t="shared" si="23"/>
        <v>4912917.4346087249</v>
      </c>
      <c r="D191" s="77">
        <f t="shared" si="16"/>
        <v>106087.86919144379</v>
      </c>
      <c r="E191" s="74">
        <f t="shared" si="17"/>
        <v>0</v>
      </c>
      <c r="F191" s="77">
        <f t="shared" si="18"/>
        <v>106087.86919144379</v>
      </c>
      <c r="G191" s="77">
        <f t="shared" si="19"/>
        <v>48770.499121008666</v>
      </c>
      <c r="H191" s="77">
        <f t="shared" si="20"/>
        <v>57317.370070435129</v>
      </c>
      <c r="I191" s="77">
        <f t="shared" si="21"/>
        <v>4864146.9354877165</v>
      </c>
    </row>
    <row r="192" spans="1:9" ht="13.8">
      <c r="A192" s="75">
        <f>IF(Values_Entered,A191+1,"")</f>
        <v>175</v>
      </c>
      <c r="B192" s="78">
        <f t="shared" si="22"/>
        <v>49936</v>
      </c>
      <c r="C192" s="79">
        <f t="shared" si="23"/>
        <v>4864146.9354877165</v>
      </c>
      <c r="D192" s="77">
        <f t="shared" si="16"/>
        <v>106087.86919144379</v>
      </c>
      <c r="E192" s="74">
        <f t="shared" si="17"/>
        <v>0</v>
      </c>
      <c r="F192" s="77">
        <f t="shared" si="18"/>
        <v>106087.86919144379</v>
      </c>
      <c r="G192" s="77">
        <f t="shared" si="19"/>
        <v>49339.488277420438</v>
      </c>
      <c r="H192" s="77">
        <f t="shared" si="20"/>
        <v>56748.380914023357</v>
      </c>
      <c r="I192" s="77">
        <f t="shared" si="21"/>
        <v>4814807.4472102961</v>
      </c>
    </row>
    <row r="193" spans="1:9" ht="13.8">
      <c r="A193" s="75">
        <f>IF(Values_Entered,A192+1,"")</f>
        <v>176</v>
      </c>
      <c r="B193" s="78">
        <f t="shared" si="22"/>
        <v>49966</v>
      </c>
      <c r="C193" s="79">
        <f t="shared" si="23"/>
        <v>4814807.4472102961</v>
      </c>
      <c r="D193" s="77">
        <f t="shared" si="16"/>
        <v>106087.86919144379</v>
      </c>
      <c r="E193" s="74">
        <f t="shared" si="17"/>
        <v>0</v>
      </c>
      <c r="F193" s="77">
        <f t="shared" si="18"/>
        <v>106087.86919144379</v>
      </c>
      <c r="G193" s="77">
        <f t="shared" si="19"/>
        <v>49915.115640657001</v>
      </c>
      <c r="H193" s="77">
        <f t="shared" si="20"/>
        <v>56172.753550786794</v>
      </c>
      <c r="I193" s="77">
        <f t="shared" si="21"/>
        <v>4764892.331569639</v>
      </c>
    </row>
    <row r="194" spans="1:9" ht="13.8">
      <c r="A194" s="75">
        <f>IF(Values_Entered,A193+1,"")</f>
        <v>177</v>
      </c>
      <c r="B194" s="78">
        <f t="shared" si="22"/>
        <v>49997</v>
      </c>
      <c r="C194" s="79">
        <f t="shared" si="23"/>
        <v>4764892.331569639</v>
      </c>
      <c r="D194" s="77">
        <f t="shared" si="16"/>
        <v>106087.86919144379</v>
      </c>
      <c r="E194" s="74">
        <f t="shared" si="17"/>
        <v>0</v>
      </c>
      <c r="F194" s="77">
        <f t="shared" si="18"/>
        <v>106087.86919144379</v>
      </c>
      <c r="G194" s="77">
        <f t="shared" si="19"/>
        <v>50497.458656464667</v>
      </c>
      <c r="H194" s="77">
        <f t="shared" si="20"/>
        <v>55590.410534979128</v>
      </c>
      <c r="I194" s="77">
        <f t="shared" si="21"/>
        <v>4714394.8729131743</v>
      </c>
    </row>
    <row r="195" spans="1:9" ht="13.8">
      <c r="A195" s="75">
        <f>IF(Values_Entered,A194+1,"")</f>
        <v>178</v>
      </c>
      <c r="B195" s="78">
        <f t="shared" si="22"/>
        <v>50027</v>
      </c>
      <c r="C195" s="79">
        <f t="shared" si="23"/>
        <v>4714394.8729131743</v>
      </c>
      <c r="D195" s="77">
        <f t="shared" si="16"/>
        <v>106087.86919144379</v>
      </c>
      <c r="E195" s="74">
        <f t="shared" si="17"/>
        <v>0</v>
      </c>
      <c r="F195" s="77">
        <f t="shared" si="18"/>
        <v>106087.86919144379</v>
      </c>
      <c r="G195" s="77">
        <f t="shared" si="19"/>
        <v>51086.595674123426</v>
      </c>
      <c r="H195" s="77">
        <f t="shared" si="20"/>
        <v>55001.273517320369</v>
      </c>
      <c r="I195" s="77">
        <f t="shared" si="21"/>
        <v>4663308.2772390507</v>
      </c>
    </row>
    <row r="196" spans="1:9" ht="13.8">
      <c r="A196" s="75">
        <f>IF(Values_Entered,A195+1,"")</f>
        <v>179</v>
      </c>
      <c r="B196" s="78">
        <f t="shared" si="22"/>
        <v>50058</v>
      </c>
      <c r="C196" s="79">
        <f t="shared" si="23"/>
        <v>4663308.2772390507</v>
      </c>
      <c r="D196" s="77">
        <f t="shared" si="16"/>
        <v>106087.86919144379</v>
      </c>
      <c r="E196" s="74">
        <f t="shared" si="17"/>
        <v>0</v>
      </c>
      <c r="F196" s="77">
        <f t="shared" si="18"/>
        <v>106087.86919144379</v>
      </c>
      <c r="G196" s="77">
        <f t="shared" si="19"/>
        <v>51682.605956988198</v>
      </c>
      <c r="H196" s="77">
        <f t="shared" si="20"/>
        <v>54405.263234455597</v>
      </c>
      <c r="I196" s="77">
        <f t="shared" si="21"/>
        <v>4611625.6712820623</v>
      </c>
    </row>
    <row r="197" spans="1:9" ht="13.8">
      <c r="A197" s="75">
        <f>IF(Values_Entered,A196+1,"")</f>
        <v>180</v>
      </c>
      <c r="B197" s="78">
        <f t="shared" si="22"/>
        <v>50089</v>
      </c>
      <c r="C197" s="79">
        <f t="shared" si="23"/>
        <v>4611625.6712820623</v>
      </c>
      <c r="D197" s="77">
        <f t="shared" si="16"/>
        <v>106087.86919144379</v>
      </c>
      <c r="E197" s="74">
        <f t="shared" si="17"/>
        <v>0</v>
      </c>
      <c r="F197" s="77">
        <f t="shared" si="18"/>
        <v>106087.86919144379</v>
      </c>
      <c r="G197" s="77">
        <f t="shared" si="19"/>
        <v>52285.569693153062</v>
      </c>
      <c r="H197" s="77">
        <f t="shared" si="20"/>
        <v>53802.299498290733</v>
      </c>
      <c r="I197" s="77">
        <f t="shared" si="21"/>
        <v>4559340.1015889095</v>
      </c>
    </row>
    <row r="198" spans="1:9" ht="13.8">
      <c r="A198" s="75">
        <f>IF(Values_Entered,A197+1,"")</f>
        <v>181</v>
      </c>
      <c r="B198" s="78">
        <f t="shared" si="22"/>
        <v>50117</v>
      </c>
      <c r="C198" s="79">
        <f t="shared" si="23"/>
        <v>4559340.1015889095</v>
      </c>
      <c r="D198" s="77">
        <f t="shared" si="16"/>
        <v>106087.86919144379</v>
      </c>
      <c r="E198" s="74">
        <f t="shared" si="17"/>
        <v>0</v>
      </c>
      <c r="F198" s="77">
        <f t="shared" si="18"/>
        <v>106087.86919144379</v>
      </c>
      <c r="G198" s="77">
        <f t="shared" si="19"/>
        <v>52895.568006239846</v>
      </c>
      <c r="H198" s="77">
        <f t="shared" si="20"/>
        <v>53192.301185203949</v>
      </c>
      <c r="I198" s="77">
        <f t="shared" si="21"/>
        <v>4506444.5335826697</v>
      </c>
    </row>
    <row r="199" spans="1:9" ht="13.8">
      <c r="A199" s="75">
        <f>IF(Values_Entered,A198+1,"")</f>
        <v>182</v>
      </c>
      <c r="B199" s="78">
        <f t="shared" si="22"/>
        <v>50148</v>
      </c>
      <c r="C199" s="79">
        <f t="shared" si="23"/>
        <v>4506444.5335826697</v>
      </c>
      <c r="D199" s="77">
        <f t="shared" si="16"/>
        <v>106087.86919144379</v>
      </c>
      <c r="E199" s="74">
        <f t="shared" si="17"/>
        <v>0</v>
      </c>
      <c r="F199" s="77">
        <f t="shared" si="18"/>
        <v>106087.86919144379</v>
      </c>
      <c r="G199" s="77">
        <f t="shared" si="19"/>
        <v>53512.682966312641</v>
      </c>
      <c r="H199" s="77">
        <f t="shared" si="20"/>
        <v>52575.186225131154</v>
      </c>
      <c r="I199" s="77">
        <f t="shared" si="21"/>
        <v>4452931.8506163573</v>
      </c>
    </row>
    <row r="200" spans="1:9" ht="13.8">
      <c r="A200" s="75">
        <f>IF(Values_Entered,A199+1,"")</f>
        <v>183</v>
      </c>
      <c r="B200" s="78">
        <f t="shared" si="22"/>
        <v>50178</v>
      </c>
      <c r="C200" s="79">
        <f t="shared" si="23"/>
        <v>4452931.8506163573</v>
      </c>
      <c r="D200" s="77">
        <f t="shared" si="16"/>
        <v>106087.86919144379</v>
      </c>
      <c r="E200" s="74">
        <f t="shared" si="17"/>
        <v>0</v>
      </c>
      <c r="F200" s="77">
        <f t="shared" si="18"/>
        <v>106087.86919144379</v>
      </c>
      <c r="G200" s="77">
        <f t="shared" si="19"/>
        <v>54136.997600919618</v>
      </c>
      <c r="H200" s="77">
        <f t="shared" si="20"/>
        <v>51950.871590524177</v>
      </c>
      <c r="I200" s="77">
        <f t="shared" si="21"/>
        <v>4398794.8530154377</v>
      </c>
    </row>
    <row r="201" spans="1:9" ht="13.8">
      <c r="A201" s="75">
        <f>IF(Values_Entered,A200+1,"")</f>
        <v>184</v>
      </c>
      <c r="B201" s="78">
        <f t="shared" si="22"/>
        <v>50209</v>
      </c>
      <c r="C201" s="79">
        <f t="shared" si="23"/>
        <v>4398794.8530154377</v>
      </c>
      <c r="D201" s="77">
        <f t="shared" si="16"/>
        <v>106087.86919144379</v>
      </c>
      <c r="E201" s="74">
        <f t="shared" si="17"/>
        <v>0</v>
      </c>
      <c r="F201" s="77">
        <f t="shared" si="18"/>
        <v>106087.86919144379</v>
      </c>
      <c r="G201" s="77">
        <f t="shared" si="19"/>
        <v>54768.59590626369</v>
      </c>
      <c r="H201" s="77">
        <f t="shared" si="20"/>
        <v>51319.273285180105</v>
      </c>
      <c r="I201" s="77">
        <f t="shared" si="21"/>
        <v>4344026.2571091736</v>
      </c>
    </row>
    <row r="202" spans="1:9" ht="13.8">
      <c r="A202" s="75">
        <f>IF(Values_Entered,A201+1,"")</f>
        <v>185</v>
      </c>
      <c r="B202" s="78">
        <f t="shared" si="22"/>
        <v>50239</v>
      </c>
      <c r="C202" s="79">
        <f t="shared" si="23"/>
        <v>4344026.2571091736</v>
      </c>
      <c r="D202" s="77">
        <f t="shared" si="16"/>
        <v>106087.86919144379</v>
      </c>
      <c r="E202" s="74">
        <f t="shared" si="17"/>
        <v>0</v>
      </c>
      <c r="F202" s="77">
        <f t="shared" si="18"/>
        <v>106087.86919144379</v>
      </c>
      <c r="G202" s="77">
        <f t="shared" si="19"/>
        <v>55407.562858503436</v>
      </c>
      <c r="H202" s="77">
        <f t="shared" si="20"/>
        <v>50680.306332940359</v>
      </c>
      <c r="I202" s="77">
        <f t="shared" si="21"/>
        <v>4288618.6942506703</v>
      </c>
    </row>
    <row r="203" spans="1:9" ht="13.8">
      <c r="A203" s="75">
        <f>IF(Values_Entered,A202+1,"")</f>
        <v>186</v>
      </c>
      <c r="B203" s="78">
        <f t="shared" si="22"/>
        <v>50270</v>
      </c>
      <c r="C203" s="79">
        <f t="shared" si="23"/>
        <v>4288618.6942506703</v>
      </c>
      <c r="D203" s="77">
        <f t="shared" si="16"/>
        <v>106087.86919144379</v>
      </c>
      <c r="E203" s="74">
        <f t="shared" si="17"/>
        <v>0</v>
      </c>
      <c r="F203" s="77">
        <f t="shared" si="18"/>
        <v>106087.86919144379</v>
      </c>
      <c r="G203" s="77">
        <f t="shared" si="19"/>
        <v>56053.984425185969</v>
      </c>
      <c r="H203" s="77">
        <f t="shared" si="20"/>
        <v>50033.884766257826</v>
      </c>
      <c r="I203" s="77">
        <f t="shared" si="21"/>
        <v>4232564.7098254841</v>
      </c>
    </row>
    <row r="204" spans="1:9" ht="13.8">
      <c r="A204" s="75">
        <f>IF(Values_Entered,A203+1,"")</f>
        <v>187</v>
      </c>
      <c r="B204" s="78">
        <f t="shared" si="22"/>
        <v>50301</v>
      </c>
      <c r="C204" s="79">
        <f t="shared" si="23"/>
        <v>4232564.7098254841</v>
      </c>
      <c r="D204" s="77">
        <f t="shared" si="16"/>
        <v>106087.86919144379</v>
      </c>
      <c r="E204" s="74">
        <f t="shared" si="17"/>
        <v>0</v>
      </c>
      <c r="F204" s="77">
        <f t="shared" si="18"/>
        <v>106087.86919144379</v>
      </c>
      <c r="G204" s="77">
        <f t="shared" si="19"/>
        <v>56707.947576813145</v>
      </c>
      <c r="H204" s="77">
        <f t="shared" si="20"/>
        <v>49379.92161463065</v>
      </c>
      <c r="I204" s="77">
        <f t="shared" si="21"/>
        <v>4175856.7622486711</v>
      </c>
    </row>
    <row r="205" spans="1:9" ht="13.8">
      <c r="A205" s="75">
        <f>IF(Values_Entered,A204+1,"")</f>
        <v>188</v>
      </c>
      <c r="B205" s="78">
        <f t="shared" si="22"/>
        <v>50331</v>
      </c>
      <c r="C205" s="79">
        <f t="shared" si="23"/>
        <v>4175856.7622486711</v>
      </c>
      <c r="D205" s="77">
        <f t="shared" si="16"/>
        <v>106087.86919144379</v>
      </c>
      <c r="E205" s="74">
        <f t="shared" si="17"/>
        <v>0</v>
      </c>
      <c r="F205" s="77">
        <f t="shared" si="18"/>
        <v>106087.86919144379</v>
      </c>
      <c r="G205" s="77">
        <f t="shared" si="19"/>
        <v>57369.540298542626</v>
      </c>
      <c r="H205" s="77">
        <f t="shared" si="20"/>
        <v>48718.328892901169</v>
      </c>
      <c r="I205" s="77">
        <f t="shared" si="21"/>
        <v>4118487.2219501287</v>
      </c>
    </row>
    <row r="206" spans="1:9" ht="13.8">
      <c r="A206" s="75">
        <f>IF(Values_Entered,A205+1,"")</f>
        <v>189</v>
      </c>
      <c r="B206" s="78">
        <f t="shared" si="22"/>
        <v>50362</v>
      </c>
      <c r="C206" s="79">
        <f t="shared" si="23"/>
        <v>4118487.2219501287</v>
      </c>
      <c r="D206" s="77">
        <f t="shared" si="16"/>
        <v>106087.86919144379</v>
      </c>
      <c r="E206" s="74">
        <f t="shared" si="17"/>
        <v>0</v>
      </c>
      <c r="F206" s="77">
        <f t="shared" si="18"/>
        <v>106087.86919144379</v>
      </c>
      <c r="G206" s="77">
        <f t="shared" si="19"/>
        <v>58038.851602025628</v>
      </c>
      <c r="H206" s="77">
        <f t="shared" si="20"/>
        <v>48049.017589418167</v>
      </c>
      <c r="I206" s="77">
        <f t="shared" si="21"/>
        <v>4060448.3703481029</v>
      </c>
    </row>
    <row r="207" spans="1:9" ht="13.8">
      <c r="A207" s="75">
        <f>IF(Values_Entered,A206+1,"")</f>
        <v>190</v>
      </c>
      <c r="B207" s="78">
        <f t="shared" si="22"/>
        <v>50392</v>
      </c>
      <c r="C207" s="79">
        <f t="shared" si="23"/>
        <v>4060448.3703481029</v>
      </c>
      <c r="D207" s="77">
        <f t="shared" si="16"/>
        <v>106087.86919144379</v>
      </c>
      <c r="E207" s="74">
        <f t="shared" si="17"/>
        <v>0</v>
      </c>
      <c r="F207" s="77">
        <f t="shared" si="18"/>
        <v>106087.86919144379</v>
      </c>
      <c r="G207" s="77">
        <f t="shared" si="19"/>
        <v>58715.971537382589</v>
      </c>
      <c r="H207" s="77">
        <f t="shared" si="20"/>
        <v>47371.897654061206</v>
      </c>
      <c r="I207" s="77">
        <f t="shared" si="21"/>
        <v>4001732.3988107201</v>
      </c>
    </row>
    <row r="208" spans="1:9" ht="13.8">
      <c r="A208" s="75">
        <f>IF(Values_Entered,A207+1,"")</f>
        <v>191</v>
      </c>
      <c r="B208" s="78">
        <f t="shared" si="22"/>
        <v>50423</v>
      </c>
      <c r="C208" s="79">
        <f t="shared" si="23"/>
        <v>4001732.3988107201</v>
      </c>
      <c r="D208" s="77">
        <f t="shared" si="16"/>
        <v>106087.86919144379</v>
      </c>
      <c r="E208" s="74">
        <f t="shared" si="17"/>
        <v>0</v>
      </c>
      <c r="F208" s="77">
        <f t="shared" si="18"/>
        <v>106087.86919144379</v>
      </c>
      <c r="G208" s="77">
        <f t="shared" si="19"/>
        <v>59400.991205318722</v>
      </c>
      <c r="H208" s="77">
        <f t="shared" si="20"/>
        <v>46686.877986125073</v>
      </c>
      <c r="I208" s="77">
        <f t="shared" si="21"/>
        <v>3942331.4076054012</v>
      </c>
    </row>
    <row r="209" spans="1:9" ht="13.8">
      <c r="A209" s="75">
        <f>IF(Values_Entered,A208+1,"")</f>
        <v>192</v>
      </c>
      <c r="B209" s="78">
        <f t="shared" si="22"/>
        <v>50454</v>
      </c>
      <c r="C209" s="79">
        <f t="shared" si="23"/>
        <v>3942331.4076054012</v>
      </c>
      <c r="D209" s="77">
        <f t="shared" si="16"/>
        <v>106087.86919144379</v>
      </c>
      <c r="E209" s="74">
        <f t="shared" si="17"/>
        <v>0</v>
      </c>
      <c r="F209" s="77">
        <f t="shared" si="18"/>
        <v>106087.86919144379</v>
      </c>
      <c r="G209" s="77">
        <f t="shared" si="19"/>
        <v>60094.002769380771</v>
      </c>
      <c r="H209" s="77">
        <f t="shared" si="20"/>
        <v>45993.866422063023</v>
      </c>
      <c r="I209" s="77">
        <f t="shared" si="21"/>
        <v>3882237.4048360204</v>
      </c>
    </row>
    <row r="210" spans="1:9" ht="13.8">
      <c r="A210" s="75">
        <f>IF(Values_Entered,A209+1,"")</f>
        <v>193</v>
      </c>
      <c r="B210" s="78">
        <f t="shared" si="22"/>
        <v>50482</v>
      </c>
      <c r="C210" s="79">
        <f t="shared" si="23"/>
        <v>3882237.4048360204</v>
      </c>
      <c r="D210" s="77">
        <f t="shared" ref="D210:D273" si="24">IF(Pay_Num&lt;&gt;"",Scheduled_Monthly_Payment,"")</f>
        <v>106087.86919144379</v>
      </c>
      <c r="E210" s="74">
        <f t="shared" ref="E210:E273" si="25">IF(Pay_Num&lt;&gt;"",Scheduled_Extra_Payments,"")</f>
        <v>0</v>
      </c>
      <c r="F210" s="77">
        <f t="shared" ref="F210:F273" si="26">IF(Pay_Num&lt;&gt;"",Sched_Pay+Extra_Pay,"")</f>
        <v>106087.86919144379</v>
      </c>
      <c r="G210" s="77">
        <f t="shared" ref="G210:G273" si="27">IF(Pay_Num&lt;&gt;"",Total_Pay-Int,"")</f>
        <v>60795.099468356886</v>
      </c>
      <c r="H210" s="77">
        <f t="shared" ref="H210:H273" si="28">IF(Pay_Num&lt;&gt;"",Beg_Bal*Interest_Rate/12,"")</f>
        <v>45292.769723086909</v>
      </c>
      <c r="I210" s="77">
        <f t="shared" ref="I210:I273" si="29">IF(Pay_Num&lt;&gt;"",Beg_Bal-Princ,"")</f>
        <v>3821442.3053676635</v>
      </c>
    </row>
    <row r="211" spans="1:9" ht="13.8">
      <c r="A211" s="75">
        <f>IF(Values_Entered,A210+1,"")</f>
        <v>194</v>
      </c>
      <c r="B211" s="78">
        <f t="shared" ref="B211:B274" si="30">IF(Pay_Num&lt;&gt;"",DATE(YEAR(B210),MONTH(B210)+1,DAY(B210)),"")</f>
        <v>50513</v>
      </c>
      <c r="C211" s="79">
        <f t="shared" ref="C211:C274" si="31">IF(Pay_Num&lt;&gt;"",I210,"")</f>
        <v>3821442.3053676635</v>
      </c>
      <c r="D211" s="77">
        <f t="shared" si="24"/>
        <v>106087.86919144379</v>
      </c>
      <c r="E211" s="74">
        <f t="shared" si="25"/>
        <v>0</v>
      </c>
      <c r="F211" s="77">
        <f t="shared" si="26"/>
        <v>106087.86919144379</v>
      </c>
      <c r="G211" s="77">
        <f t="shared" si="27"/>
        <v>61504.37562882105</v>
      </c>
      <c r="H211" s="77">
        <f t="shared" si="28"/>
        <v>44583.493562622745</v>
      </c>
      <c r="I211" s="77">
        <f t="shared" si="29"/>
        <v>3759937.9297388424</v>
      </c>
    </row>
    <row r="212" spans="1:9" ht="13.8">
      <c r="A212" s="75">
        <f>IF(Values_Entered,A211+1,"")</f>
        <v>195</v>
      </c>
      <c r="B212" s="78">
        <f t="shared" si="30"/>
        <v>50543</v>
      </c>
      <c r="C212" s="79">
        <f t="shared" si="31"/>
        <v>3759937.9297388424</v>
      </c>
      <c r="D212" s="77">
        <f t="shared" si="24"/>
        <v>106087.86919144379</v>
      </c>
      <c r="E212" s="74">
        <f t="shared" si="25"/>
        <v>0</v>
      </c>
      <c r="F212" s="77">
        <f t="shared" si="26"/>
        <v>106087.86919144379</v>
      </c>
      <c r="G212" s="77">
        <f t="shared" si="27"/>
        <v>62221.926677823962</v>
      </c>
      <c r="H212" s="77">
        <f t="shared" si="28"/>
        <v>43865.942513619833</v>
      </c>
      <c r="I212" s="77">
        <f t="shared" si="29"/>
        <v>3697716.0030610184</v>
      </c>
    </row>
    <row r="213" spans="1:9" ht="13.8">
      <c r="A213" s="75">
        <f>IF(Values_Entered,A212+1,"")</f>
        <v>196</v>
      </c>
      <c r="B213" s="78">
        <f t="shared" si="30"/>
        <v>50574</v>
      </c>
      <c r="C213" s="79">
        <f t="shared" si="31"/>
        <v>3697716.0030610184</v>
      </c>
      <c r="D213" s="77">
        <f t="shared" si="24"/>
        <v>106087.86919144379</v>
      </c>
      <c r="E213" s="74">
        <f t="shared" si="25"/>
        <v>0</v>
      </c>
      <c r="F213" s="77">
        <f t="shared" si="26"/>
        <v>106087.86919144379</v>
      </c>
      <c r="G213" s="77">
        <f t="shared" si="27"/>
        <v>62947.849155731914</v>
      </c>
      <c r="H213" s="77">
        <f t="shared" si="28"/>
        <v>43140.020035711881</v>
      </c>
      <c r="I213" s="77">
        <f t="shared" si="29"/>
        <v>3634768.1539052865</v>
      </c>
    </row>
    <row r="214" spans="1:9" ht="13.8">
      <c r="A214" s="75">
        <f>IF(Values_Entered,A213+1,"")</f>
        <v>197</v>
      </c>
      <c r="B214" s="78">
        <f t="shared" si="30"/>
        <v>50604</v>
      </c>
      <c r="C214" s="79">
        <f t="shared" si="31"/>
        <v>3634768.1539052865</v>
      </c>
      <c r="D214" s="77">
        <f t="shared" si="24"/>
        <v>106087.86919144379</v>
      </c>
      <c r="E214" s="74">
        <f t="shared" si="25"/>
        <v>0</v>
      </c>
      <c r="F214" s="77">
        <f t="shared" si="26"/>
        <v>106087.86919144379</v>
      </c>
      <c r="G214" s="77">
        <f t="shared" si="27"/>
        <v>63682.240729215446</v>
      </c>
      <c r="H214" s="77">
        <f t="shared" si="28"/>
        <v>42405.628462228349</v>
      </c>
      <c r="I214" s="77">
        <f t="shared" si="29"/>
        <v>3571085.9131760709</v>
      </c>
    </row>
    <row r="215" spans="1:9" ht="13.8">
      <c r="A215" s="75">
        <f>IF(Values_Entered,A214+1,"")</f>
        <v>198</v>
      </c>
      <c r="B215" s="78">
        <f t="shared" si="30"/>
        <v>50635</v>
      </c>
      <c r="C215" s="79">
        <f t="shared" si="31"/>
        <v>3571085.9131760709</v>
      </c>
      <c r="D215" s="77">
        <f t="shared" si="24"/>
        <v>106087.86919144379</v>
      </c>
      <c r="E215" s="74">
        <f t="shared" si="25"/>
        <v>0</v>
      </c>
      <c r="F215" s="77">
        <f t="shared" si="26"/>
        <v>106087.86919144379</v>
      </c>
      <c r="G215" s="77">
        <f t="shared" si="27"/>
        <v>64425.200204389628</v>
      </c>
      <c r="H215" s="77">
        <f t="shared" si="28"/>
        <v>41662.668987054167</v>
      </c>
      <c r="I215" s="77">
        <f t="shared" si="29"/>
        <v>3506660.7129716813</v>
      </c>
    </row>
    <row r="216" spans="1:9" ht="13.8">
      <c r="A216" s="75">
        <f>IF(Values_Entered,A215+1,"")</f>
        <v>199</v>
      </c>
      <c r="B216" s="78">
        <f t="shared" si="30"/>
        <v>50666</v>
      </c>
      <c r="C216" s="79">
        <f t="shared" si="31"/>
        <v>3506660.7129716813</v>
      </c>
      <c r="D216" s="77">
        <f t="shared" si="24"/>
        <v>106087.86919144379</v>
      </c>
      <c r="E216" s="74">
        <f t="shared" si="25"/>
        <v>0</v>
      </c>
      <c r="F216" s="77">
        <f t="shared" si="26"/>
        <v>106087.86919144379</v>
      </c>
      <c r="G216" s="77">
        <f t="shared" si="27"/>
        <v>65176.827540107508</v>
      </c>
      <c r="H216" s="77">
        <f t="shared" si="28"/>
        <v>40911.041651336287</v>
      </c>
      <c r="I216" s="77">
        <f t="shared" si="29"/>
        <v>3441483.8854315737</v>
      </c>
    </row>
    <row r="217" spans="1:9" ht="13.8">
      <c r="A217" s="75">
        <f>IF(Values_Entered,A216+1,"")</f>
        <v>200</v>
      </c>
      <c r="B217" s="78">
        <f t="shared" si="30"/>
        <v>50696</v>
      </c>
      <c r="C217" s="79">
        <f t="shared" si="31"/>
        <v>3441483.8854315737</v>
      </c>
      <c r="D217" s="77">
        <f t="shared" si="24"/>
        <v>106087.86919144379</v>
      </c>
      <c r="E217" s="74">
        <f t="shared" si="25"/>
        <v>0</v>
      </c>
      <c r="F217" s="77">
        <f t="shared" si="26"/>
        <v>106087.86919144379</v>
      </c>
      <c r="G217" s="77">
        <f t="shared" si="27"/>
        <v>65937.223861408769</v>
      </c>
      <c r="H217" s="77">
        <f t="shared" si="28"/>
        <v>40150.645330035033</v>
      </c>
      <c r="I217" s="77">
        <f t="shared" si="29"/>
        <v>3375546.6615701648</v>
      </c>
    </row>
    <row r="218" spans="1:9" ht="13.8">
      <c r="A218" s="75">
        <f>IF(Values_Entered,A217+1,"")</f>
        <v>201</v>
      </c>
      <c r="B218" s="78">
        <f t="shared" si="30"/>
        <v>50727</v>
      </c>
      <c r="C218" s="79">
        <f t="shared" si="31"/>
        <v>3375546.6615701648</v>
      </c>
      <c r="D218" s="77">
        <f t="shared" si="24"/>
        <v>106087.86919144379</v>
      </c>
      <c r="E218" s="74">
        <f t="shared" si="25"/>
        <v>0</v>
      </c>
      <c r="F218" s="77">
        <f t="shared" si="26"/>
        <v>106087.86919144379</v>
      </c>
      <c r="G218" s="77">
        <f t="shared" si="27"/>
        <v>66706.491473125207</v>
      </c>
      <c r="H218" s="77">
        <f t="shared" si="28"/>
        <v>39381.377718318596</v>
      </c>
      <c r="I218" s="77">
        <f t="shared" si="29"/>
        <v>3308840.1700970395</v>
      </c>
    </row>
    <row r="219" spans="1:9" ht="13.8">
      <c r="A219" s="75">
        <f>IF(Values_Entered,A218+1,"")</f>
        <v>202</v>
      </c>
      <c r="B219" s="78">
        <f t="shared" si="30"/>
        <v>50757</v>
      </c>
      <c r="C219" s="79">
        <f t="shared" si="31"/>
        <v>3308840.1700970395</v>
      </c>
      <c r="D219" s="77">
        <f t="shared" si="24"/>
        <v>106087.86919144379</v>
      </c>
      <c r="E219" s="74">
        <f t="shared" si="25"/>
        <v>0</v>
      </c>
      <c r="F219" s="77">
        <f t="shared" si="26"/>
        <v>106087.86919144379</v>
      </c>
      <c r="G219" s="77">
        <f t="shared" si="27"/>
        <v>67484.733873644989</v>
      </c>
      <c r="H219" s="77">
        <f t="shared" si="28"/>
        <v>38603.135317798798</v>
      </c>
      <c r="I219" s="77">
        <f t="shared" si="29"/>
        <v>3241355.4362233947</v>
      </c>
    </row>
    <row r="220" spans="1:9" ht="13.8">
      <c r="A220" s="75">
        <f>IF(Values_Entered,A219+1,"")</f>
        <v>203</v>
      </c>
      <c r="B220" s="78">
        <f t="shared" si="30"/>
        <v>50788</v>
      </c>
      <c r="C220" s="79">
        <f t="shared" si="31"/>
        <v>3241355.4362233947</v>
      </c>
      <c r="D220" s="77">
        <f t="shared" si="24"/>
        <v>106087.86919144379</v>
      </c>
      <c r="E220" s="74">
        <f t="shared" si="25"/>
        <v>0</v>
      </c>
      <c r="F220" s="77">
        <f t="shared" si="26"/>
        <v>106087.86919144379</v>
      </c>
      <c r="G220" s="77">
        <f t="shared" si="27"/>
        <v>68272.055768837512</v>
      </c>
      <c r="H220" s="77">
        <f t="shared" si="28"/>
        <v>37815.813422606276</v>
      </c>
      <c r="I220" s="77">
        <f t="shared" si="29"/>
        <v>3173083.380454557</v>
      </c>
    </row>
    <row r="221" spans="1:9" ht="13.8">
      <c r="A221" s="75">
        <f>IF(Values_Entered,A220+1,"")</f>
        <v>204</v>
      </c>
      <c r="B221" s="78">
        <f t="shared" si="30"/>
        <v>50819</v>
      </c>
      <c r="C221" s="79">
        <f t="shared" si="31"/>
        <v>3173083.380454557</v>
      </c>
      <c r="D221" s="77">
        <f t="shared" si="24"/>
        <v>106087.86919144379</v>
      </c>
      <c r="E221" s="74">
        <f t="shared" si="25"/>
        <v>0</v>
      </c>
      <c r="F221" s="77">
        <f t="shared" si="26"/>
        <v>106087.86919144379</v>
      </c>
      <c r="G221" s="77">
        <f t="shared" si="27"/>
        <v>69068.563086140624</v>
      </c>
      <c r="H221" s="77">
        <f t="shared" si="28"/>
        <v>37019.306105303171</v>
      </c>
      <c r="I221" s="77">
        <f t="shared" si="29"/>
        <v>3104014.8173684166</v>
      </c>
    </row>
    <row r="222" spans="1:9" ht="13.8">
      <c r="A222" s="75">
        <f>IF(Values_Entered,A221+1,"")</f>
        <v>205</v>
      </c>
      <c r="B222" s="78">
        <f t="shared" si="30"/>
        <v>50847</v>
      </c>
      <c r="C222" s="79">
        <f t="shared" si="31"/>
        <v>3104014.8173684166</v>
      </c>
      <c r="D222" s="77">
        <f t="shared" si="24"/>
        <v>106087.86919144379</v>
      </c>
      <c r="E222" s="74">
        <f t="shared" si="25"/>
        <v>0</v>
      </c>
      <c r="F222" s="77">
        <f t="shared" si="26"/>
        <v>106087.86919144379</v>
      </c>
      <c r="G222" s="77">
        <f t="shared" si="27"/>
        <v>69874.362988812267</v>
      </c>
      <c r="H222" s="77">
        <f t="shared" si="28"/>
        <v>36213.506202631528</v>
      </c>
      <c r="I222" s="77">
        <f t="shared" si="29"/>
        <v>3034140.4543796042</v>
      </c>
    </row>
    <row r="223" spans="1:9" ht="13.8">
      <c r="A223" s="75">
        <f>IF(Values_Entered,A222+1,"")</f>
        <v>206</v>
      </c>
      <c r="B223" s="78">
        <f t="shared" si="30"/>
        <v>50878</v>
      </c>
      <c r="C223" s="79">
        <f t="shared" si="31"/>
        <v>3034140.4543796042</v>
      </c>
      <c r="D223" s="77">
        <f t="shared" si="24"/>
        <v>106087.86919144379</v>
      </c>
      <c r="E223" s="74">
        <f t="shared" si="25"/>
        <v>0</v>
      </c>
      <c r="F223" s="77">
        <f t="shared" si="26"/>
        <v>106087.86919144379</v>
      </c>
      <c r="G223" s="77">
        <f t="shared" si="27"/>
        <v>70689.563890348421</v>
      </c>
      <c r="H223" s="77">
        <f t="shared" si="28"/>
        <v>35398.305301095381</v>
      </c>
      <c r="I223" s="77">
        <f t="shared" si="29"/>
        <v>2963450.890489256</v>
      </c>
    </row>
    <row r="224" spans="1:9" ht="13.8">
      <c r="A224" s="75">
        <f>IF(Values_Entered,A223+1,"")</f>
        <v>207</v>
      </c>
      <c r="B224" s="78">
        <f t="shared" si="30"/>
        <v>50908</v>
      </c>
      <c r="C224" s="79">
        <f t="shared" si="31"/>
        <v>2963450.890489256</v>
      </c>
      <c r="D224" s="77">
        <f t="shared" si="24"/>
        <v>106087.86919144379</v>
      </c>
      <c r="E224" s="74">
        <f t="shared" si="25"/>
        <v>0</v>
      </c>
      <c r="F224" s="77">
        <f t="shared" si="26"/>
        <v>106087.86919144379</v>
      </c>
      <c r="G224" s="77">
        <f t="shared" si="27"/>
        <v>71514.275469069136</v>
      </c>
      <c r="H224" s="77">
        <f t="shared" si="28"/>
        <v>34573.593722374659</v>
      </c>
      <c r="I224" s="77">
        <f t="shared" si="29"/>
        <v>2891936.6150201866</v>
      </c>
    </row>
    <row r="225" spans="1:9" ht="13.8">
      <c r="A225" s="75">
        <f>IF(Values_Entered,A224+1,"")</f>
        <v>208</v>
      </c>
      <c r="B225" s="78">
        <f t="shared" si="30"/>
        <v>50939</v>
      </c>
      <c r="C225" s="79">
        <f t="shared" si="31"/>
        <v>2891936.6150201866</v>
      </c>
      <c r="D225" s="77">
        <f t="shared" si="24"/>
        <v>106087.86919144379</v>
      </c>
      <c r="E225" s="74">
        <f t="shared" si="25"/>
        <v>0</v>
      </c>
      <c r="F225" s="77">
        <f t="shared" si="26"/>
        <v>106087.86919144379</v>
      </c>
      <c r="G225" s="77">
        <f t="shared" si="27"/>
        <v>72348.608682874939</v>
      </c>
      <c r="H225" s="77">
        <f t="shared" si="28"/>
        <v>33739.260508568848</v>
      </c>
      <c r="I225" s="77">
        <f t="shared" si="29"/>
        <v>2819588.0063373116</v>
      </c>
    </row>
    <row r="226" spans="1:9" ht="13.8">
      <c r="A226" s="75">
        <f>IF(Values_Entered,A225+1,"")</f>
        <v>209</v>
      </c>
      <c r="B226" s="78">
        <f t="shared" si="30"/>
        <v>50969</v>
      </c>
      <c r="C226" s="79">
        <f t="shared" si="31"/>
        <v>2819588.0063373116</v>
      </c>
      <c r="D226" s="77">
        <f t="shared" si="24"/>
        <v>106087.86919144379</v>
      </c>
      <c r="E226" s="74">
        <f t="shared" si="25"/>
        <v>0</v>
      </c>
      <c r="F226" s="77">
        <f t="shared" si="26"/>
        <v>106087.86919144379</v>
      </c>
      <c r="G226" s="77">
        <f t="shared" si="27"/>
        <v>73192.675784175168</v>
      </c>
      <c r="H226" s="77">
        <f t="shared" si="28"/>
        <v>32895.193407268634</v>
      </c>
      <c r="I226" s="77">
        <f t="shared" si="29"/>
        <v>2746395.3305531363</v>
      </c>
    </row>
    <row r="227" spans="1:9" ht="13.8">
      <c r="A227" s="75">
        <f>IF(Values_Entered,A226+1,"")</f>
        <v>210</v>
      </c>
      <c r="B227" s="78">
        <f t="shared" si="30"/>
        <v>51000</v>
      </c>
      <c r="C227" s="79">
        <f t="shared" si="31"/>
        <v>2746395.3305531363</v>
      </c>
      <c r="D227" s="77">
        <f t="shared" si="24"/>
        <v>106087.86919144379</v>
      </c>
      <c r="E227" s="74">
        <f t="shared" si="25"/>
        <v>0</v>
      </c>
      <c r="F227" s="77">
        <f t="shared" si="26"/>
        <v>106087.86919144379</v>
      </c>
      <c r="G227" s="77">
        <f t="shared" si="27"/>
        <v>74046.590334990542</v>
      </c>
      <c r="H227" s="77">
        <f t="shared" si="28"/>
        <v>32041.278856453257</v>
      </c>
      <c r="I227" s="77">
        <f t="shared" si="29"/>
        <v>2672348.7402181458</v>
      </c>
    </row>
    <row r="228" spans="1:9" ht="13.8">
      <c r="A228" s="75">
        <f>IF(Values_Entered,A227+1,"")</f>
        <v>211</v>
      </c>
      <c r="B228" s="78">
        <f t="shared" si="30"/>
        <v>51031</v>
      </c>
      <c r="C228" s="79">
        <f t="shared" si="31"/>
        <v>2672348.7402181458</v>
      </c>
      <c r="D228" s="77">
        <f t="shared" si="24"/>
        <v>106087.86919144379</v>
      </c>
      <c r="E228" s="74">
        <f t="shared" si="25"/>
        <v>0</v>
      </c>
      <c r="F228" s="77">
        <f t="shared" si="26"/>
        <v>106087.86919144379</v>
      </c>
      <c r="G228" s="77">
        <f t="shared" si="27"/>
        <v>74910.467222232095</v>
      </c>
      <c r="H228" s="77">
        <f t="shared" si="28"/>
        <v>31177.401969211704</v>
      </c>
      <c r="I228" s="77">
        <f t="shared" si="29"/>
        <v>2597438.2729959139</v>
      </c>
    </row>
    <row r="229" spans="1:9" ht="13.8">
      <c r="A229" s="75">
        <f>IF(Values_Entered,A228+1,"")</f>
        <v>212</v>
      </c>
      <c r="B229" s="78">
        <f t="shared" si="30"/>
        <v>51061</v>
      </c>
      <c r="C229" s="79">
        <f t="shared" si="31"/>
        <v>2597438.2729959139</v>
      </c>
      <c r="D229" s="77">
        <f t="shared" si="24"/>
        <v>106087.86919144379</v>
      </c>
      <c r="E229" s="74">
        <f t="shared" si="25"/>
        <v>0</v>
      </c>
      <c r="F229" s="77">
        <f t="shared" si="26"/>
        <v>106087.86919144379</v>
      </c>
      <c r="G229" s="77">
        <f t="shared" si="27"/>
        <v>75784.422673158129</v>
      </c>
      <c r="H229" s="77">
        <f t="shared" si="28"/>
        <v>30303.446518285666</v>
      </c>
      <c r="I229" s="77">
        <f t="shared" si="29"/>
        <v>2521653.8503227555</v>
      </c>
    </row>
    <row r="230" spans="1:9" ht="13.8">
      <c r="A230" s="75">
        <f>IF(Values_Entered,A229+1,"")</f>
        <v>213</v>
      </c>
      <c r="B230" s="78">
        <f t="shared" si="30"/>
        <v>51092</v>
      </c>
      <c r="C230" s="79">
        <f t="shared" si="31"/>
        <v>2521653.8503227555</v>
      </c>
      <c r="D230" s="77">
        <f t="shared" si="24"/>
        <v>106087.86919144379</v>
      </c>
      <c r="E230" s="74">
        <f t="shared" si="25"/>
        <v>0</v>
      </c>
      <c r="F230" s="77">
        <f t="shared" si="26"/>
        <v>106087.86919144379</v>
      </c>
      <c r="G230" s="77">
        <f t="shared" si="27"/>
        <v>76668.574271011646</v>
      </c>
      <c r="H230" s="77">
        <f t="shared" si="28"/>
        <v>29419.294920432149</v>
      </c>
      <c r="I230" s="77">
        <f t="shared" si="29"/>
        <v>2444985.2760517439</v>
      </c>
    </row>
    <row r="231" spans="1:9" ht="13.8">
      <c r="A231" s="75">
        <f>IF(Values_Entered,A230+1,"")</f>
        <v>214</v>
      </c>
      <c r="B231" s="78">
        <f t="shared" si="30"/>
        <v>51122</v>
      </c>
      <c r="C231" s="79">
        <f t="shared" si="31"/>
        <v>2444985.2760517439</v>
      </c>
      <c r="D231" s="77">
        <f t="shared" si="24"/>
        <v>106087.86919144379</v>
      </c>
      <c r="E231" s="74">
        <f t="shared" si="25"/>
        <v>0</v>
      </c>
      <c r="F231" s="77">
        <f t="shared" si="26"/>
        <v>106087.86919144379</v>
      </c>
      <c r="G231" s="77">
        <f t="shared" si="27"/>
        <v>77563.040970840113</v>
      </c>
      <c r="H231" s="77">
        <f t="shared" si="28"/>
        <v>28524.828220603682</v>
      </c>
      <c r="I231" s="77">
        <f t="shared" si="29"/>
        <v>2367422.2350809039</v>
      </c>
    </row>
    <row r="232" spans="1:9" ht="13.8">
      <c r="A232" s="75">
        <f>IF(Values_Entered,A231+1,"")</f>
        <v>215</v>
      </c>
      <c r="B232" s="78">
        <f t="shared" si="30"/>
        <v>51153</v>
      </c>
      <c r="C232" s="79">
        <f t="shared" si="31"/>
        <v>2367422.2350809039</v>
      </c>
      <c r="D232" s="77">
        <f t="shared" si="24"/>
        <v>106087.86919144379</v>
      </c>
      <c r="E232" s="74">
        <f t="shared" si="25"/>
        <v>0</v>
      </c>
      <c r="F232" s="77">
        <f t="shared" si="26"/>
        <v>106087.86919144379</v>
      </c>
      <c r="G232" s="77">
        <f t="shared" si="27"/>
        <v>78467.943115499918</v>
      </c>
      <c r="H232" s="77">
        <f t="shared" si="28"/>
        <v>27619.92607594388</v>
      </c>
      <c r="I232" s="77">
        <f t="shared" si="29"/>
        <v>2288954.2919654041</v>
      </c>
    </row>
    <row r="233" spans="1:9" ht="13.8">
      <c r="A233" s="75">
        <f>IF(Values_Entered,A232+1,"")</f>
        <v>216</v>
      </c>
      <c r="B233" s="78">
        <f t="shared" si="30"/>
        <v>51184</v>
      </c>
      <c r="C233" s="79">
        <f t="shared" si="31"/>
        <v>2288954.2919654041</v>
      </c>
      <c r="D233" s="77">
        <f t="shared" si="24"/>
        <v>106087.86919144379</v>
      </c>
      <c r="E233" s="74">
        <f t="shared" si="25"/>
        <v>0</v>
      </c>
      <c r="F233" s="77">
        <f t="shared" si="26"/>
        <v>106087.86919144379</v>
      </c>
      <c r="G233" s="77">
        <f t="shared" si="27"/>
        <v>79383.402451847418</v>
      </c>
      <c r="H233" s="77">
        <f t="shared" si="28"/>
        <v>26704.466739596381</v>
      </c>
      <c r="I233" s="77">
        <f t="shared" si="29"/>
        <v>2209570.8895135568</v>
      </c>
    </row>
    <row r="234" spans="1:9" ht="13.8">
      <c r="A234" s="75">
        <f>IF(Values_Entered,A233+1,"")</f>
        <v>217</v>
      </c>
      <c r="B234" s="78">
        <f t="shared" si="30"/>
        <v>51213</v>
      </c>
      <c r="C234" s="79">
        <f t="shared" si="31"/>
        <v>2209570.8895135568</v>
      </c>
      <c r="D234" s="77">
        <f t="shared" si="24"/>
        <v>106087.86919144379</v>
      </c>
      <c r="E234" s="74">
        <f t="shared" si="25"/>
        <v>0</v>
      </c>
      <c r="F234" s="77">
        <f t="shared" si="26"/>
        <v>106087.86919144379</v>
      </c>
      <c r="G234" s="77">
        <f t="shared" si="27"/>
        <v>80309.542147118962</v>
      </c>
      <c r="H234" s="77">
        <f t="shared" si="28"/>
        <v>25778.327044324833</v>
      </c>
      <c r="I234" s="77">
        <f t="shared" si="29"/>
        <v>2129261.3473664378</v>
      </c>
    </row>
    <row r="235" spans="1:9" ht="13.8">
      <c r="A235" s="75">
        <f>IF(Values_Entered,A234+1,"")</f>
        <v>218</v>
      </c>
      <c r="B235" s="78">
        <f t="shared" si="30"/>
        <v>51244</v>
      </c>
      <c r="C235" s="79">
        <f t="shared" si="31"/>
        <v>2129261.3473664378</v>
      </c>
      <c r="D235" s="77">
        <f t="shared" si="24"/>
        <v>106087.86919144379</v>
      </c>
      <c r="E235" s="74">
        <f t="shared" si="25"/>
        <v>0</v>
      </c>
      <c r="F235" s="77">
        <f t="shared" si="26"/>
        <v>106087.86919144379</v>
      </c>
      <c r="G235" s="77">
        <f t="shared" si="27"/>
        <v>81246.48680550202</v>
      </c>
      <c r="H235" s="77">
        <f t="shared" si="28"/>
        <v>24841.382385941775</v>
      </c>
      <c r="I235" s="77">
        <f t="shared" si="29"/>
        <v>2048014.8605609357</v>
      </c>
    </row>
    <row r="236" spans="1:9" ht="13.8">
      <c r="A236" s="75">
        <f>IF(Values_Entered,A235+1,"")</f>
        <v>219</v>
      </c>
      <c r="B236" s="78">
        <f t="shared" si="30"/>
        <v>51274</v>
      </c>
      <c r="C236" s="79">
        <f t="shared" si="31"/>
        <v>2048014.8605609357</v>
      </c>
      <c r="D236" s="77">
        <f t="shared" si="24"/>
        <v>106087.86919144379</v>
      </c>
      <c r="E236" s="74">
        <f t="shared" si="25"/>
        <v>0</v>
      </c>
      <c r="F236" s="77">
        <f t="shared" si="26"/>
        <v>106087.86919144379</v>
      </c>
      <c r="G236" s="77">
        <f t="shared" si="27"/>
        <v>82194.362484899539</v>
      </c>
      <c r="H236" s="77">
        <f t="shared" si="28"/>
        <v>23893.506706544253</v>
      </c>
      <c r="I236" s="77">
        <f t="shared" si="29"/>
        <v>1965820.4980760361</v>
      </c>
    </row>
    <row r="237" spans="1:9" ht="13.8">
      <c r="A237" s="75">
        <f>IF(Values_Entered,A236+1,"")</f>
        <v>220</v>
      </c>
      <c r="B237" s="78">
        <f t="shared" si="30"/>
        <v>51305</v>
      </c>
      <c r="C237" s="79">
        <f t="shared" si="31"/>
        <v>1965820.4980760361</v>
      </c>
      <c r="D237" s="77">
        <f t="shared" si="24"/>
        <v>106087.86919144379</v>
      </c>
      <c r="E237" s="74">
        <f t="shared" si="25"/>
        <v>0</v>
      </c>
      <c r="F237" s="77">
        <f t="shared" si="26"/>
        <v>106087.86919144379</v>
      </c>
      <c r="G237" s="77">
        <f t="shared" si="27"/>
        <v>83153.296713890042</v>
      </c>
      <c r="H237" s="77">
        <f t="shared" si="28"/>
        <v>22934.572477553756</v>
      </c>
      <c r="I237" s="77">
        <f t="shared" si="29"/>
        <v>1882667.2013621461</v>
      </c>
    </row>
    <row r="238" spans="1:9" ht="13.8">
      <c r="A238" s="75">
        <f>IF(Values_Entered,A237+1,"")</f>
        <v>221</v>
      </c>
      <c r="B238" s="78">
        <f t="shared" si="30"/>
        <v>51335</v>
      </c>
      <c r="C238" s="79">
        <f t="shared" si="31"/>
        <v>1882667.2013621461</v>
      </c>
      <c r="D238" s="77">
        <f t="shared" si="24"/>
        <v>106087.86919144379</v>
      </c>
      <c r="E238" s="74">
        <f t="shared" si="25"/>
        <v>0</v>
      </c>
      <c r="F238" s="77">
        <f t="shared" si="26"/>
        <v>106087.86919144379</v>
      </c>
      <c r="G238" s="77">
        <f t="shared" si="27"/>
        <v>84123.418508885428</v>
      </c>
      <c r="H238" s="77">
        <f t="shared" si="28"/>
        <v>21964.45068255837</v>
      </c>
      <c r="I238" s="77">
        <f t="shared" si="29"/>
        <v>1798543.7828532606</v>
      </c>
    </row>
    <row r="239" spans="1:9" ht="13.8">
      <c r="A239" s="75">
        <f>IF(Values_Entered,A238+1,"")</f>
        <v>222</v>
      </c>
      <c r="B239" s="78">
        <f t="shared" si="30"/>
        <v>51366</v>
      </c>
      <c r="C239" s="79">
        <f t="shared" si="31"/>
        <v>1798543.7828532606</v>
      </c>
      <c r="D239" s="77">
        <f t="shared" si="24"/>
        <v>106087.86919144379</v>
      </c>
      <c r="E239" s="74">
        <f t="shared" si="25"/>
        <v>0</v>
      </c>
      <c r="F239" s="77">
        <f t="shared" si="26"/>
        <v>106087.86919144379</v>
      </c>
      <c r="G239" s="77">
        <f t="shared" si="27"/>
        <v>85104.858391489091</v>
      </c>
      <c r="H239" s="77">
        <f t="shared" si="28"/>
        <v>20983.010799954707</v>
      </c>
      <c r="I239" s="77">
        <f t="shared" si="29"/>
        <v>1713438.9244617715</v>
      </c>
    </row>
    <row r="240" spans="1:9" ht="13.8">
      <c r="A240" s="75">
        <f>IF(Values_Entered,A239+1,"")</f>
        <v>223</v>
      </c>
      <c r="B240" s="78">
        <f t="shared" si="30"/>
        <v>51397</v>
      </c>
      <c r="C240" s="79">
        <f t="shared" si="31"/>
        <v>1713438.9244617715</v>
      </c>
      <c r="D240" s="77">
        <f t="shared" si="24"/>
        <v>106087.86919144379</v>
      </c>
      <c r="E240" s="74">
        <f t="shared" si="25"/>
        <v>0</v>
      </c>
      <c r="F240" s="77">
        <f t="shared" si="26"/>
        <v>106087.86919144379</v>
      </c>
      <c r="G240" s="77">
        <f t="shared" si="27"/>
        <v>86097.74840605646</v>
      </c>
      <c r="H240" s="77">
        <f t="shared" si="28"/>
        <v>19990.120785387338</v>
      </c>
      <c r="I240" s="77">
        <f t="shared" si="29"/>
        <v>1627341.176055715</v>
      </c>
    </row>
    <row r="241" spans="1:9" ht="13.8">
      <c r="A241" s="75">
        <f>IF(Values_Entered,A240+1,"")</f>
        <v>224</v>
      </c>
      <c r="B241" s="78">
        <f t="shared" si="30"/>
        <v>51427</v>
      </c>
      <c r="C241" s="79">
        <f t="shared" si="31"/>
        <v>1627341.176055715</v>
      </c>
      <c r="D241" s="77">
        <f t="shared" si="24"/>
        <v>106087.86919144379</v>
      </c>
      <c r="E241" s="74">
        <f t="shared" si="25"/>
        <v>0</v>
      </c>
      <c r="F241" s="77">
        <f t="shared" si="26"/>
        <v>106087.86919144379</v>
      </c>
      <c r="G241" s="77">
        <f t="shared" si="27"/>
        <v>87102.222137460456</v>
      </c>
      <c r="H241" s="77">
        <f t="shared" si="28"/>
        <v>18985.647053983343</v>
      </c>
      <c r="I241" s="77">
        <f t="shared" si="29"/>
        <v>1540238.9539182545</v>
      </c>
    </row>
    <row r="242" spans="1:9" ht="13.8">
      <c r="A242" s="75">
        <f>IF(Values_Entered,A241+1,"")</f>
        <v>225</v>
      </c>
      <c r="B242" s="78">
        <f t="shared" si="30"/>
        <v>51458</v>
      </c>
      <c r="C242" s="79">
        <f t="shared" si="31"/>
        <v>1540238.9539182545</v>
      </c>
      <c r="D242" s="77">
        <f t="shared" si="24"/>
        <v>106087.86919144379</v>
      </c>
      <c r="E242" s="74">
        <f t="shared" si="25"/>
        <v>0</v>
      </c>
      <c r="F242" s="77">
        <f t="shared" si="26"/>
        <v>106087.86919144379</v>
      </c>
      <c r="G242" s="77">
        <f t="shared" si="27"/>
        <v>88118.414729064156</v>
      </c>
      <c r="H242" s="77">
        <f t="shared" si="28"/>
        <v>17969.454462379636</v>
      </c>
      <c r="I242" s="77">
        <f t="shared" si="29"/>
        <v>1452120.5391891904</v>
      </c>
    </row>
    <row r="243" spans="1:9" ht="13.8">
      <c r="A243" s="75">
        <f>IF(Values_Entered,A242+1,"")</f>
        <v>226</v>
      </c>
      <c r="B243" s="78">
        <f t="shared" si="30"/>
        <v>51488</v>
      </c>
      <c r="C243" s="79">
        <f t="shared" si="31"/>
        <v>1452120.5391891904</v>
      </c>
      <c r="D243" s="77">
        <f t="shared" si="24"/>
        <v>106087.86919144379</v>
      </c>
      <c r="E243" s="74">
        <f t="shared" si="25"/>
        <v>0</v>
      </c>
      <c r="F243" s="77">
        <f t="shared" si="26"/>
        <v>106087.86919144379</v>
      </c>
      <c r="G243" s="77">
        <f t="shared" si="27"/>
        <v>89146.462900903236</v>
      </c>
      <c r="H243" s="77">
        <f t="shared" si="28"/>
        <v>16941.406290540555</v>
      </c>
      <c r="I243" s="77">
        <f t="shared" si="29"/>
        <v>1362974.0762882871</v>
      </c>
    </row>
    <row r="244" spans="1:9" ht="13.8">
      <c r="A244" s="75">
        <f>IF(Values_Entered,A243+1,"")</f>
        <v>227</v>
      </c>
      <c r="B244" s="78">
        <f t="shared" si="30"/>
        <v>51519</v>
      </c>
      <c r="C244" s="79">
        <f t="shared" si="31"/>
        <v>1362974.0762882871</v>
      </c>
      <c r="D244" s="77">
        <f t="shared" si="24"/>
        <v>106087.86919144379</v>
      </c>
      <c r="E244" s="74">
        <f t="shared" si="25"/>
        <v>0</v>
      </c>
      <c r="F244" s="77">
        <f t="shared" si="26"/>
        <v>106087.86919144379</v>
      </c>
      <c r="G244" s="77">
        <f t="shared" si="27"/>
        <v>90186.504968080437</v>
      </c>
      <c r="H244" s="77">
        <f t="shared" si="28"/>
        <v>15901.364223363351</v>
      </c>
      <c r="I244" s="77">
        <f t="shared" si="29"/>
        <v>1272787.5713202066</v>
      </c>
    </row>
    <row r="245" spans="1:9" ht="13.8">
      <c r="A245" s="75">
        <f>IF(Values_Entered,A244+1,"")</f>
        <v>228</v>
      </c>
      <c r="B245" s="78">
        <f t="shared" si="30"/>
        <v>51550</v>
      </c>
      <c r="C245" s="79">
        <f t="shared" si="31"/>
        <v>1272787.5713202066</v>
      </c>
      <c r="D245" s="77">
        <f t="shared" si="24"/>
        <v>106087.86919144379</v>
      </c>
      <c r="E245" s="74">
        <f t="shared" si="25"/>
        <v>0</v>
      </c>
      <c r="F245" s="77">
        <f t="shared" si="26"/>
        <v>106087.86919144379</v>
      </c>
      <c r="G245" s="77">
        <f t="shared" si="27"/>
        <v>91238.680859374712</v>
      </c>
      <c r="H245" s="77">
        <f t="shared" si="28"/>
        <v>14849.188332069078</v>
      </c>
      <c r="I245" s="77">
        <f t="shared" si="29"/>
        <v>1181548.8904608318</v>
      </c>
    </row>
    <row r="246" spans="1:9" ht="13.8">
      <c r="A246" s="75">
        <f>IF(Values_Entered,A245+1,"")</f>
        <v>229</v>
      </c>
      <c r="B246" s="78">
        <f t="shared" si="30"/>
        <v>51578</v>
      </c>
      <c r="C246" s="79">
        <f t="shared" si="31"/>
        <v>1181548.8904608318</v>
      </c>
      <c r="D246" s="77">
        <f t="shared" si="24"/>
        <v>106087.86919144379</v>
      </c>
      <c r="E246" s="74">
        <f t="shared" si="25"/>
        <v>0</v>
      </c>
      <c r="F246" s="77">
        <f t="shared" si="26"/>
        <v>106087.86919144379</v>
      </c>
      <c r="G246" s="77">
        <f t="shared" si="27"/>
        <v>92303.132136067419</v>
      </c>
      <c r="H246" s="77">
        <f t="shared" si="28"/>
        <v>13784.737055376374</v>
      </c>
      <c r="I246" s="77">
        <f t="shared" si="29"/>
        <v>1089245.7583247644</v>
      </c>
    </row>
    <row r="247" spans="1:9" ht="13.8">
      <c r="A247" s="75">
        <f>IF(Values_Entered,A246+1,"")</f>
        <v>230</v>
      </c>
      <c r="B247" s="78">
        <f t="shared" si="30"/>
        <v>51609</v>
      </c>
      <c r="C247" s="79">
        <f t="shared" si="31"/>
        <v>1089245.7583247644</v>
      </c>
      <c r="D247" s="77">
        <f t="shared" si="24"/>
        <v>106087.86919144379</v>
      </c>
      <c r="E247" s="74">
        <f t="shared" si="25"/>
        <v>0</v>
      </c>
      <c r="F247" s="77">
        <f t="shared" si="26"/>
        <v>106087.86919144379</v>
      </c>
      <c r="G247" s="77">
        <f t="shared" si="27"/>
        <v>93380.002010988217</v>
      </c>
      <c r="H247" s="77">
        <f t="shared" si="28"/>
        <v>12707.867180455585</v>
      </c>
      <c r="I247" s="77">
        <f t="shared" si="29"/>
        <v>995865.75631377625</v>
      </c>
    </row>
    <row r="248" spans="1:9" ht="13.8">
      <c r="A248" s="75">
        <f>IF(Values_Entered,A247+1,"")</f>
        <v>231</v>
      </c>
      <c r="B248" s="78">
        <f t="shared" si="30"/>
        <v>51639</v>
      </c>
      <c r="C248" s="79">
        <f t="shared" si="31"/>
        <v>995865.75631377625</v>
      </c>
      <c r="D248" s="77">
        <f t="shared" si="24"/>
        <v>106087.86919144379</v>
      </c>
      <c r="E248" s="74">
        <f t="shared" si="25"/>
        <v>0</v>
      </c>
      <c r="F248" s="77">
        <f t="shared" si="26"/>
        <v>106087.86919144379</v>
      </c>
      <c r="G248" s="77">
        <f t="shared" si="27"/>
        <v>94469.435367783066</v>
      </c>
      <c r="H248" s="77">
        <f t="shared" si="28"/>
        <v>11618.433823660724</v>
      </c>
      <c r="I248" s="77">
        <f t="shared" si="29"/>
        <v>901396.32094599318</v>
      </c>
    </row>
    <row r="249" spans="1:9" ht="13.8">
      <c r="A249" s="75">
        <f>IF(Values_Entered,A248+1,"")</f>
        <v>232</v>
      </c>
      <c r="B249" s="78">
        <f t="shared" si="30"/>
        <v>51670</v>
      </c>
      <c r="C249" s="79">
        <f t="shared" si="31"/>
        <v>901396.32094599318</v>
      </c>
      <c r="D249" s="77">
        <f t="shared" si="24"/>
        <v>106087.86919144379</v>
      </c>
      <c r="E249" s="74">
        <f t="shared" si="25"/>
        <v>0</v>
      </c>
      <c r="F249" s="77">
        <f t="shared" si="26"/>
        <v>106087.86919144379</v>
      </c>
      <c r="G249" s="77">
        <f t="shared" si="27"/>
        <v>95571.578780407202</v>
      </c>
      <c r="H249" s="77">
        <f t="shared" si="28"/>
        <v>10516.290411036587</v>
      </c>
      <c r="I249" s="77">
        <f t="shared" si="29"/>
        <v>805824.74216558598</v>
      </c>
    </row>
    <row r="250" spans="1:9" ht="13.8">
      <c r="A250" s="75">
        <f>IF(Values_Entered,A249+1,"")</f>
        <v>233</v>
      </c>
      <c r="B250" s="78">
        <f t="shared" si="30"/>
        <v>51700</v>
      </c>
      <c r="C250" s="80">
        <f t="shared" si="31"/>
        <v>805824.74216558598</v>
      </c>
      <c r="D250" s="77">
        <f t="shared" si="24"/>
        <v>106087.86919144379</v>
      </c>
      <c r="E250" s="74">
        <f t="shared" si="25"/>
        <v>0</v>
      </c>
      <c r="F250" s="77">
        <f t="shared" si="26"/>
        <v>106087.86919144379</v>
      </c>
      <c r="G250" s="77">
        <f t="shared" si="27"/>
        <v>96686.580532845284</v>
      </c>
      <c r="H250" s="77">
        <f t="shared" si="28"/>
        <v>9401.2886585985034</v>
      </c>
      <c r="I250" s="77">
        <f t="shared" si="29"/>
        <v>709138.16163274064</v>
      </c>
    </row>
    <row r="251" spans="1:9" ht="13.8">
      <c r="A251" s="81">
        <f>IF(Values_Entered,A250+1,"")</f>
        <v>234</v>
      </c>
      <c r="B251" s="78">
        <f t="shared" si="30"/>
        <v>51731</v>
      </c>
      <c r="C251" s="80">
        <f t="shared" si="31"/>
        <v>709138.16163274064</v>
      </c>
      <c r="D251" s="77">
        <f t="shared" si="24"/>
        <v>106087.86919144379</v>
      </c>
      <c r="E251" s="74">
        <f t="shared" si="25"/>
        <v>0</v>
      </c>
      <c r="F251" s="77">
        <f t="shared" si="26"/>
        <v>106087.86919144379</v>
      </c>
      <c r="G251" s="77">
        <f t="shared" si="27"/>
        <v>97814.590639061818</v>
      </c>
      <c r="H251" s="77">
        <f t="shared" si="28"/>
        <v>8273.2785523819748</v>
      </c>
      <c r="I251" s="77">
        <f t="shared" si="29"/>
        <v>611323.57099367888</v>
      </c>
    </row>
    <row r="252" spans="1:9" ht="13.8">
      <c r="A252" s="81">
        <f>IF(Values_Entered,A251+1,"")</f>
        <v>235</v>
      </c>
      <c r="B252" s="78">
        <f t="shared" si="30"/>
        <v>51762</v>
      </c>
      <c r="C252" s="80">
        <f t="shared" si="31"/>
        <v>611323.57099367888</v>
      </c>
      <c r="D252" s="77">
        <f t="shared" si="24"/>
        <v>106087.86919144379</v>
      </c>
      <c r="E252" s="74">
        <f t="shared" si="25"/>
        <v>0</v>
      </c>
      <c r="F252" s="77">
        <f t="shared" si="26"/>
        <v>106087.86919144379</v>
      </c>
      <c r="G252" s="77">
        <f t="shared" si="27"/>
        <v>98955.760863184201</v>
      </c>
      <c r="H252" s="77">
        <f t="shared" si="28"/>
        <v>7132.1083282595873</v>
      </c>
      <c r="I252" s="77">
        <f t="shared" si="29"/>
        <v>512367.81013049465</v>
      </c>
    </row>
    <row r="253" spans="1:9" ht="13.8">
      <c r="A253" s="81">
        <f>IF(Values_Entered,A252+1,"")</f>
        <v>236</v>
      </c>
      <c r="B253" s="78">
        <f t="shared" si="30"/>
        <v>51792</v>
      </c>
      <c r="C253" s="80">
        <f t="shared" si="31"/>
        <v>512367.81013049465</v>
      </c>
      <c r="D253" s="77">
        <f t="shared" si="24"/>
        <v>106087.86919144379</v>
      </c>
      <c r="E253" s="74">
        <f t="shared" si="25"/>
        <v>0</v>
      </c>
      <c r="F253" s="77">
        <f t="shared" si="26"/>
        <v>106087.86919144379</v>
      </c>
      <c r="G253" s="77">
        <f t="shared" si="27"/>
        <v>100110.24473992136</v>
      </c>
      <c r="H253" s="77">
        <f t="shared" si="28"/>
        <v>5977.624451522438</v>
      </c>
      <c r="I253" s="77">
        <f t="shared" si="29"/>
        <v>412257.56539057329</v>
      </c>
    </row>
    <row r="254" spans="1:9" ht="13.8">
      <c r="A254" s="81">
        <f>IF(Values_Entered,A253+1,"")</f>
        <v>237</v>
      </c>
      <c r="B254" s="78">
        <f t="shared" si="30"/>
        <v>51823</v>
      </c>
      <c r="C254" s="80">
        <f t="shared" si="31"/>
        <v>412257.56539057329</v>
      </c>
      <c r="D254" s="77">
        <f t="shared" si="24"/>
        <v>106087.86919144379</v>
      </c>
      <c r="E254" s="74">
        <f t="shared" si="25"/>
        <v>0</v>
      </c>
      <c r="F254" s="77">
        <f t="shared" si="26"/>
        <v>106087.86919144379</v>
      </c>
      <c r="G254" s="77">
        <f t="shared" si="27"/>
        <v>101278.19759522044</v>
      </c>
      <c r="H254" s="77">
        <f t="shared" si="28"/>
        <v>4809.6715962233557</v>
      </c>
      <c r="I254" s="77">
        <f t="shared" si="29"/>
        <v>310979.36779535282</v>
      </c>
    </row>
    <row r="255" spans="1:9" ht="13.8">
      <c r="A255" s="81">
        <f>IF(Values_Entered,A254+1,"")</f>
        <v>238</v>
      </c>
      <c r="B255" s="78">
        <f t="shared" si="30"/>
        <v>51853</v>
      </c>
      <c r="C255" s="80">
        <f t="shared" si="31"/>
        <v>310979.36779535282</v>
      </c>
      <c r="D255" s="77">
        <f t="shared" si="24"/>
        <v>106087.86919144379</v>
      </c>
      <c r="E255" s="74">
        <f t="shared" si="25"/>
        <v>0</v>
      </c>
      <c r="F255" s="77">
        <f t="shared" si="26"/>
        <v>106087.86919144379</v>
      </c>
      <c r="G255" s="77">
        <f t="shared" si="27"/>
        <v>102459.77656716468</v>
      </c>
      <c r="H255" s="77">
        <f t="shared" si="28"/>
        <v>3628.092624279117</v>
      </c>
      <c r="I255" s="77">
        <f t="shared" si="29"/>
        <v>208519.59122818813</v>
      </c>
    </row>
    <row r="256" spans="1:9" ht="13.8">
      <c r="A256" s="81">
        <f>IF(Values_Entered,A255+1,"")</f>
        <v>239</v>
      </c>
      <c r="B256" s="78">
        <f t="shared" si="30"/>
        <v>51884</v>
      </c>
      <c r="C256" s="80">
        <f t="shared" si="31"/>
        <v>208519.59122818813</v>
      </c>
      <c r="D256" s="77">
        <f t="shared" si="24"/>
        <v>106087.86919144379</v>
      </c>
      <c r="E256" s="74">
        <f t="shared" si="25"/>
        <v>0</v>
      </c>
      <c r="F256" s="77">
        <f t="shared" si="26"/>
        <v>106087.86919144379</v>
      </c>
      <c r="G256" s="77">
        <f t="shared" si="27"/>
        <v>103655.14062711493</v>
      </c>
      <c r="H256" s="77">
        <f t="shared" si="28"/>
        <v>2432.7285643288619</v>
      </c>
      <c r="I256" s="77">
        <f t="shared" si="29"/>
        <v>104864.4506010732</v>
      </c>
    </row>
    <row r="257" spans="1:9" ht="13.8">
      <c r="A257" s="81">
        <f>IF(Values_Entered,A256+1,"")</f>
        <v>240</v>
      </c>
      <c r="B257" s="78">
        <f t="shared" si="30"/>
        <v>51915</v>
      </c>
      <c r="C257" s="80">
        <f t="shared" si="31"/>
        <v>104864.4506010732</v>
      </c>
      <c r="D257" s="77">
        <f t="shared" si="24"/>
        <v>106087.86919144379</v>
      </c>
      <c r="E257" s="74">
        <f t="shared" si="25"/>
        <v>0</v>
      </c>
      <c r="F257" s="77">
        <f t="shared" si="26"/>
        <v>106087.86919144379</v>
      </c>
      <c r="G257" s="77">
        <f t="shared" si="27"/>
        <v>104864.45060109794</v>
      </c>
      <c r="H257" s="77">
        <f t="shared" si="28"/>
        <v>1223.418590345854</v>
      </c>
      <c r="I257" s="77">
        <f t="shared" si="29"/>
        <v>-2.4738255888223648E-8</v>
      </c>
    </row>
    <row r="258" spans="1:9" ht="13.8">
      <c r="A258" s="81">
        <f>IF(Values_Entered,A257+1,"")</f>
        <v>241</v>
      </c>
      <c r="B258" s="78">
        <f t="shared" si="30"/>
        <v>51943</v>
      </c>
      <c r="C258" s="80">
        <f t="shared" si="31"/>
        <v>-2.4738255888223648E-8</v>
      </c>
      <c r="D258" s="77">
        <f t="shared" si="24"/>
        <v>106087.86919144379</v>
      </c>
      <c r="E258" s="74">
        <f t="shared" si="25"/>
        <v>0</v>
      </c>
      <c r="F258" s="77">
        <f t="shared" si="26"/>
        <v>106087.86919144379</v>
      </c>
      <c r="G258" s="77">
        <f t="shared" si="27"/>
        <v>106087.86919144409</v>
      </c>
      <c r="H258" s="77">
        <f t="shared" si="28"/>
        <v>-2.8861298536260926E-10</v>
      </c>
      <c r="I258" s="77">
        <f t="shared" si="29"/>
        <v>-106087.86919146882</v>
      </c>
    </row>
    <row r="259" spans="1:9" ht="13.8">
      <c r="A259" s="81">
        <f>IF(Values_Entered,A258+1,"")</f>
        <v>242</v>
      </c>
      <c r="B259" s="78">
        <f t="shared" si="30"/>
        <v>51974</v>
      </c>
      <c r="C259" s="80">
        <f t="shared" si="31"/>
        <v>-106087.86919146882</v>
      </c>
      <c r="D259" s="77">
        <f t="shared" si="24"/>
        <v>106087.86919144379</v>
      </c>
      <c r="E259" s="74">
        <f t="shared" si="25"/>
        <v>0</v>
      </c>
      <c r="F259" s="77">
        <f t="shared" si="26"/>
        <v>106087.86919144379</v>
      </c>
      <c r="G259" s="77">
        <f t="shared" si="27"/>
        <v>107325.5609986776</v>
      </c>
      <c r="H259" s="77">
        <f t="shared" si="28"/>
        <v>-1237.691807233803</v>
      </c>
      <c r="I259" s="77">
        <f t="shared" si="29"/>
        <v>-213413.43019014644</v>
      </c>
    </row>
    <row r="260" spans="1:9" ht="13.8">
      <c r="A260" s="81">
        <f>IF(Values_Entered,A259+1,"")</f>
        <v>243</v>
      </c>
      <c r="B260" s="78">
        <f t="shared" si="30"/>
        <v>52004</v>
      </c>
      <c r="C260" s="80">
        <f t="shared" si="31"/>
        <v>-213413.43019014644</v>
      </c>
      <c r="D260" s="77">
        <f t="shared" si="24"/>
        <v>106087.86919144379</v>
      </c>
      <c r="E260" s="74">
        <f t="shared" si="25"/>
        <v>0</v>
      </c>
      <c r="F260" s="77">
        <f t="shared" si="26"/>
        <v>106087.86919144379</v>
      </c>
      <c r="G260" s="77">
        <f t="shared" si="27"/>
        <v>108577.69254366217</v>
      </c>
      <c r="H260" s="77">
        <f t="shared" si="28"/>
        <v>-2489.823352218375</v>
      </c>
      <c r="I260" s="77">
        <f t="shared" si="29"/>
        <v>-321991.12273380859</v>
      </c>
    </row>
    <row r="261" spans="1:9" ht="13.8">
      <c r="A261" s="81">
        <f>IF(Values_Entered,A260+1,"")</f>
        <v>244</v>
      </c>
      <c r="B261" s="78">
        <f t="shared" si="30"/>
        <v>52035</v>
      </c>
      <c r="C261" s="80">
        <f t="shared" si="31"/>
        <v>-321991.12273380859</v>
      </c>
      <c r="D261" s="77">
        <f t="shared" si="24"/>
        <v>106087.86919144379</v>
      </c>
      <c r="E261" s="74">
        <f t="shared" si="25"/>
        <v>0</v>
      </c>
      <c r="F261" s="77">
        <f t="shared" si="26"/>
        <v>106087.86919144379</v>
      </c>
      <c r="G261" s="77">
        <f t="shared" si="27"/>
        <v>109844.4322900049</v>
      </c>
      <c r="H261" s="77">
        <f t="shared" si="28"/>
        <v>-3756.5630985611006</v>
      </c>
      <c r="I261" s="77">
        <f t="shared" si="29"/>
        <v>-431835.5550238135</v>
      </c>
    </row>
    <row r="262" spans="1:9" ht="13.8">
      <c r="A262" s="81">
        <f>IF(Values_Entered,A261+1,"")</f>
        <v>245</v>
      </c>
      <c r="B262" s="78">
        <f t="shared" si="30"/>
        <v>52065</v>
      </c>
      <c r="C262" s="80">
        <f t="shared" si="31"/>
        <v>-431835.5550238135</v>
      </c>
      <c r="D262" s="77">
        <f t="shared" si="24"/>
        <v>106087.86919144379</v>
      </c>
      <c r="E262" s="74">
        <f t="shared" si="25"/>
        <v>0</v>
      </c>
      <c r="F262" s="77">
        <f t="shared" si="26"/>
        <v>106087.86919144379</v>
      </c>
      <c r="G262" s="77">
        <f t="shared" si="27"/>
        <v>111125.95066672162</v>
      </c>
      <c r="H262" s="77">
        <f t="shared" si="28"/>
        <v>-5038.0814752778251</v>
      </c>
      <c r="I262" s="77">
        <f t="shared" si="29"/>
        <v>-542961.50569053506</v>
      </c>
    </row>
    <row r="263" spans="1:9" ht="13.8">
      <c r="A263" s="81">
        <f>IF(Values_Entered,A262+1,"")</f>
        <v>246</v>
      </c>
      <c r="B263" s="78">
        <f t="shared" si="30"/>
        <v>52096</v>
      </c>
      <c r="C263" s="80">
        <f t="shared" si="31"/>
        <v>-542961.50569053506</v>
      </c>
      <c r="D263" s="77">
        <f t="shared" si="24"/>
        <v>106087.86919144379</v>
      </c>
      <c r="E263" s="74">
        <f t="shared" si="25"/>
        <v>0</v>
      </c>
      <c r="F263" s="77">
        <f t="shared" si="26"/>
        <v>106087.86919144379</v>
      </c>
      <c r="G263" s="77">
        <f t="shared" si="27"/>
        <v>112422.4200911667</v>
      </c>
      <c r="H263" s="77">
        <f t="shared" si="28"/>
        <v>-6334.550899722909</v>
      </c>
      <c r="I263" s="77">
        <f t="shared" si="29"/>
        <v>-655383.92578170181</v>
      </c>
    </row>
    <row r="264" spans="1:9" ht="13.8">
      <c r="A264" s="81">
        <f>IF(Values_Entered,A263+1,"")</f>
        <v>247</v>
      </c>
      <c r="B264" s="78">
        <f t="shared" si="30"/>
        <v>52127</v>
      </c>
      <c r="C264" s="80">
        <f t="shared" si="31"/>
        <v>-655383.92578170181</v>
      </c>
      <c r="D264" s="77">
        <f t="shared" si="24"/>
        <v>106087.86919144379</v>
      </c>
      <c r="E264" s="74">
        <f t="shared" si="25"/>
        <v>0</v>
      </c>
      <c r="F264" s="77">
        <f t="shared" si="26"/>
        <v>106087.86919144379</v>
      </c>
      <c r="G264" s="77">
        <f t="shared" si="27"/>
        <v>113734.01499223031</v>
      </c>
      <c r="H264" s="77">
        <f t="shared" si="28"/>
        <v>-7646.1458007865222</v>
      </c>
      <c r="I264" s="77">
        <f t="shared" si="29"/>
        <v>-769117.94077393215</v>
      </c>
    </row>
    <row r="265" spans="1:9" ht="13.8">
      <c r="A265" s="81">
        <f>IF(Values_Entered,A264+1,"")</f>
        <v>248</v>
      </c>
      <c r="B265" s="78">
        <f t="shared" si="30"/>
        <v>52157</v>
      </c>
      <c r="C265" s="80">
        <f t="shared" si="31"/>
        <v>-769117.94077393215</v>
      </c>
      <c r="D265" s="77">
        <f t="shared" si="24"/>
        <v>106087.86919144379</v>
      </c>
      <c r="E265" s="74">
        <f t="shared" si="25"/>
        <v>0</v>
      </c>
      <c r="F265" s="77">
        <f t="shared" si="26"/>
        <v>106087.86919144379</v>
      </c>
      <c r="G265" s="77">
        <f t="shared" si="27"/>
        <v>115060.91183380634</v>
      </c>
      <c r="H265" s="77">
        <f t="shared" si="28"/>
        <v>-8973.0426423625431</v>
      </c>
      <c r="I265" s="77">
        <f t="shared" si="29"/>
        <v>-884178.85260773846</v>
      </c>
    </row>
    <row r="266" spans="1:9" ht="13.8">
      <c r="A266" s="81">
        <f>IF(Values_Entered,A265+1,"")</f>
        <v>249</v>
      </c>
      <c r="B266" s="78">
        <f t="shared" si="30"/>
        <v>52188</v>
      </c>
      <c r="C266" s="80">
        <f t="shared" si="31"/>
        <v>-884178.85260773846</v>
      </c>
      <c r="D266" s="77">
        <f t="shared" si="24"/>
        <v>106087.86919144379</v>
      </c>
      <c r="E266" s="74">
        <f t="shared" si="25"/>
        <v>0</v>
      </c>
      <c r="F266" s="77">
        <f t="shared" si="26"/>
        <v>106087.86919144379</v>
      </c>
      <c r="G266" s="77">
        <f t="shared" si="27"/>
        <v>116403.28913853408</v>
      </c>
      <c r="H266" s="77">
        <f t="shared" si="28"/>
        <v>-10315.419947090284</v>
      </c>
      <c r="I266" s="77">
        <f t="shared" si="29"/>
        <v>-1000582.1417462726</v>
      </c>
    </row>
    <row r="267" spans="1:9" ht="13.8">
      <c r="A267" s="81">
        <f>IF(Values_Entered,A266+1,"")</f>
        <v>250</v>
      </c>
      <c r="B267" s="78">
        <f t="shared" si="30"/>
        <v>52218</v>
      </c>
      <c r="C267" s="80">
        <f t="shared" si="31"/>
        <v>-1000582.1417462726</v>
      </c>
      <c r="D267" s="77">
        <f t="shared" si="24"/>
        <v>106087.86919144379</v>
      </c>
      <c r="E267" s="74">
        <f t="shared" si="25"/>
        <v>0</v>
      </c>
      <c r="F267" s="77">
        <f t="shared" si="26"/>
        <v>106087.86919144379</v>
      </c>
      <c r="G267" s="77">
        <f t="shared" si="27"/>
        <v>117761.32751181698</v>
      </c>
      <c r="H267" s="77">
        <f t="shared" si="28"/>
        <v>-11673.458320373182</v>
      </c>
      <c r="I267" s="77">
        <f t="shared" si="29"/>
        <v>-1118343.4692580895</v>
      </c>
    </row>
    <row r="268" spans="1:9" ht="13.8">
      <c r="A268" s="81">
        <f>IF(Values_Entered,A267+1,"")</f>
        <v>251</v>
      </c>
      <c r="B268" s="78">
        <f t="shared" si="30"/>
        <v>52249</v>
      </c>
      <c r="C268" s="80">
        <f t="shared" si="31"/>
        <v>-1118343.4692580895</v>
      </c>
      <c r="D268" s="77">
        <f t="shared" si="24"/>
        <v>106087.86919144379</v>
      </c>
      <c r="E268" s="74">
        <f t="shared" si="25"/>
        <v>0</v>
      </c>
      <c r="F268" s="77">
        <f t="shared" si="26"/>
        <v>106087.86919144379</v>
      </c>
      <c r="G268" s="77">
        <f t="shared" si="27"/>
        <v>119135.2096661215</v>
      </c>
      <c r="H268" s="77">
        <f t="shared" si="28"/>
        <v>-13047.340474677714</v>
      </c>
      <c r="I268" s="77">
        <f t="shared" si="29"/>
        <v>-1237478.6789242111</v>
      </c>
    </row>
    <row r="269" spans="1:9" ht="13.8">
      <c r="A269" s="81">
        <f>IF(Values_Entered,A268+1,"")</f>
        <v>252</v>
      </c>
      <c r="B269" s="78">
        <f t="shared" si="30"/>
        <v>52280</v>
      </c>
      <c r="C269" s="80">
        <f t="shared" si="31"/>
        <v>-1237478.6789242111</v>
      </c>
      <c r="D269" s="77">
        <f t="shared" si="24"/>
        <v>106087.86919144379</v>
      </c>
      <c r="E269" s="74">
        <f t="shared" si="25"/>
        <v>0</v>
      </c>
      <c r="F269" s="77">
        <f t="shared" si="26"/>
        <v>106087.86919144379</v>
      </c>
      <c r="G269" s="77">
        <f t="shared" si="27"/>
        <v>120525.12044555959</v>
      </c>
      <c r="H269" s="77">
        <f t="shared" si="28"/>
        <v>-14437.251254115798</v>
      </c>
      <c r="I269" s="77">
        <f t="shared" si="29"/>
        <v>-1358003.7993697706</v>
      </c>
    </row>
    <row r="270" spans="1:9" ht="13.8">
      <c r="A270" s="81">
        <f>IF(Values_Entered,A269+1,"")</f>
        <v>253</v>
      </c>
      <c r="B270" s="78">
        <f t="shared" si="30"/>
        <v>52308</v>
      </c>
      <c r="C270" s="80">
        <f t="shared" si="31"/>
        <v>-1358003.7993697706</v>
      </c>
      <c r="D270" s="77">
        <f t="shared" si="24"/>
        <v>106087.86919144379</v>
      </c>
      <c r="E270" s="74">
        <f t="shared" si="25"/>
        <v>0</v>
      </c>
      <c r="F270" s="77">
        <f t="shared" si="26"/>
        <v>106087.86919144379</v>
      </c>
      <c r="G270" s="77">
        <f t="shared" si="27"/>
        <v>121931.24685075779</v>
      </c>
      <c r="H270" s="77">
        <f t="shared" si="28"/>
        <v>-15843.377659313992</v>
      </c>
      <c r="I270" s="77">
        <f t="shared" si="29"/>
        <v>-1479935.0462205284</v>
      </c>
    </row>
    <row r="271" spans="1:9" ht="13.8">
      <c r="A271" s="81">
        <f>IF(Values_Entered,A270+1,"")</f>
        <v>254</v>
      </c>
      <c r="B271" s="78">
        <f t="shared" si="30"/>
        <v>52339</v>
      </c>
      <c r="C271" s="80">
        <f t="shared" si="31"/>
        <v>-1479935.0462205284</v>
      </c>
      <c r="D271" s="77">
        <f t="shared" si="24"/>
        <v>106087.86919144379</v>
      </c>
      <c r="E271" s="74">
        <f t="shared" si="25"/>
        <v>0</v>
      </c>
      <c r="F271" s="77">
        <f t="shared" si="26"/>
        <v>106087.86919144379</v>
      </c>
      <c r="G271" s="77">
        <f t="shared" si="27"/>
        <v>123353.77806401663</v>
      </c>
      <c r="H271" s="77">
        <f t="shared" si="28"/>
        <v>-17265.908872572832</v>
      </c>
      <c r="I271" s="77">
        <f t="shared" si="29"/>
        <v>-1603288.8242845451</v>
      </c>
    </row>
    <row r="272" spans="1:9" ht="13.8">
      <c r="A272" s="81">
        <f>IF(Values_Entered,A271+1,"")</f>
        <v>255</v>
      </c>
      <c r="B272" s="78">
        <f t="shared" si="30"/>
        <v>52369</v>
      </c>
      <c r="C272" s="80">
        <f t="shared" si="31"/>
        <v>-1603288.8242845451</v>
      </c>
      <c r="D272" s="77">
        <f t="shared" si="24"/>
        <v>106087.86919144379</v>
      </c>
      <c r="E272" s="74">
        <f t="shared" si="25"/>
        <v>0</v>
      </c>
      <c r="F272" s="77">
        <f t="shared" si="26"/>
        <v>106087.86919144379</v>
      </c>
      <c r="G272" s="77">
        <f t="shared" si="27"/>
        <v>124792.90547476349</v>
      </c>
      <c r="H272" s="77">
        <f t="shared" si="28"/>
        <v>-18705.036283319696</v>
      </c>
      <c r="I272" s="77">
        <f t="shared" si="29"/>
        <v>-1728081.7297593087</v>
      </c>
    </row>
    <row r="273" spans="1:9" ht="13.8">
      <c r="A273" s="81">
        <f>IF(Values_Entered,A272+1,"")</f>
        <v>256</v>
      </c>
      <c r="B273" s="78">
        <f t="shared" si="30"/>
        <v>52400</v>
      </c>
      <c r="C273" s="80">
        <f t="shared" si="31"/>
        <v>-1728081.7297593087</v>
      </c>
      <c r="D273" s="77">
        <f t="shared" si="24"/>
        <v>106087.86919144379</v>
      </c>
      <c r="E273" s="74">
        <f t="shared" si="25"/>
        <v>0</v>
      </c>
      <c r="F273" s="77">
        <f t="shared" si="26"/>
        <v>106087.86919144379</v>
      </c>
      <c r="G273" s="77">
        <f t="shared" si="27"/>
        <v>126248.8227053024</v>
      </c>
      <c r="H273" s="77">
        <f t="shared" si="28"/>
        <v>-20160.953513858603</v>
      </c>
      <c r="I273" s="77">
        <f t="shared" si="29"/>
        <v>-1854330.5524646111</v>
      </c>
    </row>
    <row r="274" spans="1:9" ht="13.8">
      <c r="A274" s="81">
        <f>IF(Values_Entered,A273+1,"")</f>
        <v>257</v>
      </c>
      <c r="B274" s="78">
        <f t="shared" si="30"/>
        <v>52430</v>
      </c>
      <c r="C274" s="80">
        <f t="shared" si="31"/>
        <v>-1854330.5524646111</v>
      </c>
      <c r="D274" s="77">
        <f t="shared" ref="D274:D337" si="32">IF(Pay_Num&lt;&gt;"",Scheduled_Monthly_Payment,"")</f>
        <v>106087.86919144379</v>
      </c>
      <c r="E274" s="74">
        <f t="shared" ref="E274:E337" si="33">IF(Pay_Num&lt;&gt;"",Scheduled_Extra_Payments,"")</f>
        <v>0</v>
      </c>
      <c r="F274" s="77">
        <f t="shared" ref="F274:F337" si="34">IF(Pay_Num&lt;&gt;"",Sched_Pay+Extra_Pay,"")</f>
        <v>106087.86919144379</v>
      </c>
      <c r="G274" s="77">
        <f t="shared" ref="G274:G337" si="35">IF(Pay_Num&lt;&gt;"",Total_Pay-Int,"")</f>
        <v>127721.72563686426</v>
      </c>
      <c r="H274" s="77">
        <f t="shared" ref="H274:H337" si="36">IF(Pay_Num&lt;&gt;"",Beg_Bal*Interest_Rate/12,"")</f>
        <v>-21633.856445420464</v>
      </c>
      <c r="I274" s="77">
        <f t="shared" ref="I274:I337" si="37">IF(Pay_Num&lt;&gt;"",Beg_Bal-Princ,"")</f>
        <v>-1982052.2781014754</v>
      </c>
    </row>
    <row r="275" spans="1:9" ht="13.8">
      <c r="A275" s="81">
        <f>IF(Values_Entered,A274+1,"")</f>
        <v>258</v>
      </c>
      <c r="B275" s="78">
        <f t="shared" ref="B275:B338" si="38">IF(Pay_Num&lt;&gt;"",DATE(YEAR(B274),MONTH(B274)+1,DAY(B274)),"")</f>
        <v>52461</v>
      </c>
      <c r="C275" s="80">
        <f t="shared" ref="C275:C338" si="39">IF(Pay_Num&lt;&gt;"",I274,"")</f>
        <v>-1982052.2781014754</v>
      </c>
      <c r="D275" s="77">
        <f t="shared" si="32"/>
        <v>106087.86919144379</v>
      </c>
      <c r="E275" s="74">
        <f t="shared" si="33"/>
        <v>0</v>
      </c>
      <c r="F275" s="77">
        <f t="shared" si="34"/>
        <v>106087.86919144379</v>
      </c>
      <c r="G275" s="77">
        <f t="shared" si="35"/>
        <v>129211.81243596101</v>
      </c>
      <c r="H275" s="77">
        <f t="shared" si="36"/>
        <v>-23123.943244517213</v>
      </c>
      <c r="I275" s="77">
        <f t="shared" si="37"/>
        <v>-2111264.0905374363</v>
      </c>
    </row>
    <row r="276" spans="1:9" ht="13.8">
      <c r="A276" s="81">
        <f>IF(Values_Entered,A275+1,"")</f>
        <v>259</v>
      </c>
      <c r="B276" s="78">
        <f t="shared" si="38"/>
        <v>52492</v>
      </c>
      <c r="C276" s="80">
        <f t="shared" si="39"/>
        <v>-2111264.0905374363</v>
      </c>
      <c r="D276" s="77">
        <f t="shared" si="32"/>
        <v>106087.86919144379</v>
      </c>
      <c r="E276" s="74">
        <f t="shared" si="33"/>
        <v>0</v>
      </c>
      <c r="F276" s="77">
        <f t="shared" si="34"/>
        <v>106087.86919144379</v>
      </c>
      <c r="G276" s="77">
        <f t="shared" si="35"/>
        <v>130719.28358104722</v>
      </c>
      <c r="H276" s="77">
        <f t="shared" si="36"/>
        <v>-24631.414389603426</v>
      </c>
      <c r="I276" s="77">
        <f t="shared" si="37"/>
        <v>-2241983.3741184836</v>
      </c>
    </row>
    <row r="277" spans="1:9" ht="13.8">
      <c r="A277" s="81">
        <f>IF(Values_Entered,A276+1,"")</f>
        <v>260</v>
      </c>
      <c r="B277" s="78">
        <f t="shared" si="38"/>
        <v>52522</v>
      </c>
      <c r="C277" s="80">
        <f t="shared" si="39"/>
        <v>-2241983.3741184836</v>
      </c>
      <c r="D277" s="77">
        <f t="shared" si="32"/>
        <v>106087.86919144379</v>
      </c>
      <c r="E277" s="74">
        <f t="shared" si="33"/>
        <v>0</v>
      </c>
      <c r="F277" s="77">
        <f t="shared" si="34"/>
        <v>106087.86919144379</v>
      </c>
      <c r="G277" s="77">
        <f t="shared" si="35"/>
        <v>132244.34188949276</v>
      </c>
      <c r="H277" s="77">
        <f t="shared" si="36"/>
        <v>-26156.47269804898</v>
      </c>
      <c r="I277" s="77">
        <f t="shared" si="37"/>
        <v>-2374227.7160079763</v>
      </c>
    </row>
    <row r="278" spans="1:9" ht="13.8">
      <c r="A278" s="81">
        <f>IF(Values_Entered,A277+1,"")</f>
        <v>261</v>
      </c>
      <c r="B278" s="78">
        <f t="shared" si="38"/>
        <v>52553</v>
      </c>
      <c r="C278" s="80">
        <f t="shared" si="39"/>
        <v>-2374227.7160079763</v>
      </c>
      <c r="D278" s="77">
        <f t="shared" si="32"/>
        <v>106087.86919144379</v>
      </c>
      <c r="E278" s="74">
        <f t="shared" si="33"/>
        <v>0</v>
      </c>
      <c r="F278" s="77">
        <f t="shared" si="34"/>
        <v>106087.86919144379</v>
      </c>
      <c r="G278" s="77">
        <f t="shared" si="35"/>
        <v>133787.19254487019</v>
      </c>
      <c r="H278" s="77">
        <f t="shared" si="36"/>
        <v>-27699.323353426396</v>
      </c>
      <c r="I278" s="77">
        <f t="shared" si="37"/>
        <v>-2508014.9085528464</v>
      </c>
    </row>
    <row r="279" spans="1:9" ht="13.8">
      <c r="A279" s="81">
        <f>IF(Values_Entered,A278+1,"")</f>
        <v>262</v>
      </c>
      <c r="B279" s="78">
        <f t="shared" si="38"/>
        <v>52583</v>
      </c>
      <c r="C279" s="80">
        <f t="shared" si="39"/>
        <v>-2508014.9085528464</v>
      </c>
      <c r="D279" s="77">
        <f t="shared" si="32"/>
        <v>106087.86919144379</v>
      </c>
      <c r="E279" s="74">
        <f t="shared" si="33"/>
        <v>0</v>
      </c>
      <c r="F279" s="77">
        <f t="shared" si="34"/>
        <v>106087.86919144379</v>
      </c>
      <c r="G279" s="77">
        <f t="shared" si="35"/>
        <v>135348.04312456032</v>
      </c>
      <c r="H279" s="77">
        <f t="shared" si="36"/>
        <v>-29260.173933116545</v>
      </c>
      <c r="I279" s="77">
        <f t="shared" si="37"/>
        <v>-2643362.9516774067</v>
      </c>
    </row>
    <row r="280" spans="1:9" ht="13.8">
      <c r="A280" s="81">
        <f>IF(Values_Entered,A279+1,"")</f>
        <v>263</v>
      </c>
      <c r="B280" s="78">
        <f t="shared" si="38"/>
        <v>52614</v>
      </c>
      <c r="C280" s="80">
        <f t="shared" si="39"/>
        <v>-2643362.9516774067</v>
      </c>
      <c r="D280" s="77">
        <f t="shared" si="32"/>
        <v>106087.86919144379</v>
      </c>
      <c r="E280" s="74">
        <f t="shared" si="33"/>
        <v>0</v>
      </c>
      <c r="F280" s="77">
        <f t="shared" si="34"/>
        <v>106087.86919144379</v>
      </c>
      <c r="G280" s="77">
        <f t="shared" si="35"/>
        <v>136927.10362768022</v>
      </c>
      <c r="H280" s="77">
        <f t="shared" si="36"/>
        <v>-30839.234436236413</v>
      </c>
      <c r="I280" s="77">
        <f t="shared" si="37"/>
        <v>-2780290.055305087</v>
      </c>
    </row>
    <row r="281" spans="1:9" ht="13.8">
      <c r="A281" s="81">
        <f>IF(Values_Entered,A280+1,"")</f>
        <v>264</v>
      </c>
      <c r="B281" s="78">
        <f t="shared" si="38"/>
        <v>52645</v>
      </c>
      <c r="C281" s="80">
        <f t="shared" si="39"/>
        <v>-2780290.055305087</v>
      </c>
      <c r="D281" s="77">
        <f t="shared" si="32"/>
        <v>106087.86919144379</v>
      </c>
      <c r="E281" s="74">
        <f t="shared" si="33"/>
        <v>0</v>
      </c>
      <c r="F281" s="77">
        <f t="shared" si="34"/>
        <v>106087.86919144379</v>
      </c>
      <c r="G281" s="77">
        <f t="shared" si="35"/>
        <v>138524.58650333647</v>
      </c>
      <c r="H281" s="77">
        <f t="shared" si="36"/>
        <v>-32436.717311892684</v>
      </c>
      <c r="I281" s="77">
        <f t="shared" si="37"/>
        <v>-2918814.6418084237</v>
      </c>
    </row>
    <row r="282" spans="1:9" ht="13.8">
      <c r="A282" s="81">
        <f>IF(Values_Entered,A281+1,"")</f>
        <v>265</v>
      </c>
      <c r="B282" s="78">
        <f t="shared" si="38"/>
        <v>52674</v>
      </c>
      <c r="C282" s="80">
        <f t="shared" si="39"/>
        <v>-2918814.6418084237</v>
      </c>
      <c r="D282" s="77">
        <f t="shared" si="32"/>
        <v>106087.86919144379</v>
      </c>
      <c r="E282" s="74">
        <f t="shared" si="33"/>
        <v>0</v>
      </c>
      <c r="F282" s="77">
        <f t="shared" si="34"/>
        <v>106087.86919144379</v>
      </c>
      <c r="G282" s="77">
        <f t="shared" si="35"/>
        <v>140140.70667920873</v>
      </c>
      <c r="H282" s="77">
        <f t="shared" si="36"/>
        <v>-34052.837487764948</v>
      </c>
      <c r="I282" s="77">
        <f t="shared" si="37"/>
        <v>-3058955.3484876323</v>
      </c>
    </row>
    <row r="283" spans="1:9" ht="13.8">
      <c r="A283" s="81">
        <f>IF(Values_Entered,A282+1,"")</f>
        <v>266</v>
      </c>
      <c r="B283" s="78">
        <f t="shared" si="38"/>
        <v>52705</v>
      </c>
      <c r="C283" s="80">
        <f t="shared" si="39"/>
        <v>-3058955.3484876323</v>
      </c>
      <c r="D283" s="77">
        <f t="shared" si="32"/>
        <v>106087.86919144379</v>
      </c>
      <c r="E283" s="74">
        <f t="shared" si="33"/>
        <v>0</v>
      </c>
      <c r="F283" s="77">
        <f t="shared" si="34"/>
        <v>106087.86919144379</v>
      </c>
      <c r="G283" s="77">
        <f t="shared" si="35"/>
        <v>141775.68159046618</v>
      </c>
      <c r="H283" s="77">
        <f t="shared" si="36"/>
        <v>-35687.812399022383</v>
      </c>
      <c r="I283" s="77">
        <f t="shared" si="37"/>
        <v>-3200731.0300780986</v>
      </c>
    </row>
    <row r="284" spans="1:9" ht="13.8">
      <c r="A284" s="81">
        <f>IF(Values_Entered,A283+1,"")</f>
        <v>267</v>
      </c>
      <c r="B284" s="78">
        <f t="shared" si="38"/>
        <v>52735</v>
      </c>
      <c r="C284" s="80">
        <f t="shared" si="39"/>
        <v>-3200731.0300780986</v>
      </c>
      <c r="D284" s="77">
        <f t="shared" si="32"/>
        <v>106087.86919144379</v>
      </c>
      <c r="E284" s="74">
        <f t="shared" si="33"/>
        <v>0</v>
      </c>
      <c r="F284" s="77">
        <f t="shared" si="34"/>
        <v>106087.86919144379</v>
      </c>
      <c r="G284" s="77">
        <f t="shared" si="35"/>
        <v>143429.73120902161</v>
      </c>
      <c r="H284" s="77">
        <f t="shared" si="36"/>
        <v>-37341.86201757782</v>
      </c>
      <c r="I284" s="77">
        <f t="shared" si="37"/>
        <v>-3344160.7612871202</v>
      </c>
    </row>
    <row r="285" spans="1:9" ht="13.8">
      <c r="A285" s="81">
        <f>IF(Values_Entered,A284+1,"")</f>
        <v>268</v>
      </c>
      <c r="B285" s="78">
        <f t="shared" si="38"/>
        <v>52766</v>
      </c>
      <c r="C285" s="80">
        <f t="shared" si="39"/>
        <v>-3344160.7612871202</v>
      </c>
      <c r="D285" s="77">
        <f t="shared" si="32"/>
        <v>106087.86919144379</v>
      </c>
      <c r="E285" s="74">
        <f t="shared" si="33"/>
        <v>0</v>
      </c>
      <c r="F285" s="77">
        <f t="shared" si="34"/>
        <v>106087.86919144379</v>
      </c>
      <c r="G285" s="77">
        <f t="shared" si="35"/>
        <v>145103.07807312688</v>
      </c>
      <c r="H285" s="77">
        <f t="shared" si="36"/>
        <v>-39015.208881683073</v>
      </c>
      <c r="I285" s="77">
        <f t="shared" si="37"/>
        <v>-3489263.8393602469</v>
      </c>
    </row>
    <row r="286" spans="1:9" ht="13.8">
      <c r="A286" s="81">
        <f>IF(Values_Entered,A285+1,"")</f>
        <v>269</v>
      </c>
      <c r="B286" s="78">
        <f t="shared" si="38"/>
        <v>52796</v>
      </c>
      <c r="C286" s="80">
        <f t="shared" si="39"/>
        <v>-3489263.8393602469</v>
      </c>
      <c r="D286" s="77">
        <f t="shared" si="32"/>
        <v>106087.86919144379</v>
      </c>
      <c r="E286" s="74">
        <f t="shared" si="33"/>
        <v>0</v>
      </c>
      <c r="F286" s="77">
        <f t="shared" si="34"/>
        <v>106087.86919144379</v>
      </c>
      <c r="G286" s="77">
        <f t="shared" si="35"/>
        <v>146795.94731731334</v>
      </c>
      <c r="H286" s="77">
        <f t="shared" si="36"/>
        <v>-40708.07812586955</v>
      </c>
      <c r="I286" s="77">
        <f t="shared" si="37"/>
        <v>-3636059.7866775603</v>
      </c>
    </row>
    <row r="287" spans="1:9" ht="13.8">
      <c r="A287" s="81">
        <f>IF(Values_Entered,A286+1,"")</f>
        <v>270</v>
      </c>
      <c r="B287" s="78">
        <f t="shared" si="38"/>
        <v>52827</v>
      </c>
      <c r="C287" s="80">
        <f t="shared" si="39"/>
        <v>-3636059.7866775603</v>
      </c>
      <c r="D287" s="77">
        <f t="shared" si="32"/>
        <v>106087.86919144379</v>
      </c>
      <c r="E287" s="74">
        <f t="shared" si="33"/>
        <v>0</v>
      </c>
      <c r="F287" s="77">
        <f t="shared" si="34"/>
        <v>106087.86919144379</v>
      </c>
      <c r="G287" s="77">
        <f t="shared" si="35"/>
        <v>148508.566702682</v>
      </c>
      <c r="H287" s="77">
        <f t="shared" si="36"/>
        <v>-42420.697511238206</v>
      </c>
      <c r="I287" s="77">
        <f t="shared" si="37"/>
        <v>-3784568.3533802424</v>
      </c>
    </row>
    <row r="288" spans="1:9" ht="13.8">
      <c r="A288" s="81">
        <f>IF(Values_Entered,A287+1,"")</f>
        <v>271</v>
      </c>
      <c r="B288" s="78">
        <f t="shared" si="38"/>
        <v>52858</v>
      </c>
      <c r="C288" s="80">
        <f t="shared" si="39"/>
        <v>-3784568.3533802424</v>
      </c>
      <c r="D288" s="77">
        <f t="shared" si="32"/>
        <v>106087.86919144379</v>
      </c>
      <c r="E288" s="74">
        <f t="shared" si="33"/>
        <v>0</v>
      </c>
      <c r="F288" s="77">
        <f t="shared" si="34"/>
        <v>106087.86919144379</v>
      </c>
      <c r="G288" s="77">
        <f t="shared" si="35"/>
        <v>150241.16664754663</v>
      </c>
      <c r="H288" s="77">
        <f t="shared" si="36"/>
        <v>-44153.297456102831</v>
      </c>
      <c r="I288" s="77">
        <f t="shared" si="37"/>
        <v>-3934809.5200277888</v>
      </c>
    </row>
    <row r="289" spans="1:9" ht="13.8">
      <c r="A289" s="81">
        <f>IF(Values_Entered,A288+1,"")</f>
        <v>272</v>
      </c>
      <c r="B289" s="78">
        <f t="shared" si="38"/>
        <v>52888</v>
      </c>
      <c r="C289" s="80">
        <f t="shared" si="39"/>
        <v>-3934809.5200277888</v>
      </c>
      <c r="D289" s="77">
        <f t="shared" si="32"/>
        <v>106087.86919144379</v>
      </c>
      <c r="E289" s="74">
        <f t="shared" si="33"/>
        <v>0</v>
      </c>
      <c r="F289" s="77">
        <f t="shared" si="34"/>
        <v>106087.86919144379</v>
      </c>
      <c r="G289" s="77">
        <f t="shared" si="35"/>
        <v>151993.98025843466</v>
      </c>
      <c r="H289" s="77">
        <f t="shared" si="36"/>
        <v>-45906.111066990874</v>
      </c>
      <c r="I289" s="77">
        <f t="shared" si="37"/>
        <v>-4086803.5002862234</v>
      </c>
    </row>
    <row r="290" spans="1:9" ht="13.8">
      <c r="A290" s="81">
        <f>IF(Values_Entered,A289+1,"")</f>
        <v>273</v>
      </c>
      <c r="B290" s="78">
        <f t="shared" si="38"/>
        <v>52919</v>
      </c>
      <c r="C290" s="80">
        <f t="shared" si="39"/>
        <v>-4086803.5002862234</v>
      </c>
      <c r="D290" s="77">
        <f t="shared" si="32"/>
        <v>106087.86919144379</v>
      </c>
      <c r="E290" s="74">
        <f t="shared" si="33"/>
        <v>0</v>
      </c>
      <c r="F290" s="77">
        <f t="shared" si="34"/>
        <v>106087.86919144379</v>
      </c>
      <c r="G290" s="77">
        <f t="shared" si="35"/>
        <v>153767.24336144974</v>
      </c>
      <c r="H290" s="77">
        <f t="shared" si="36"/>
        <v>-47679.37417000594</v>
      </c>
      <c r="I290" s="77">
        <f t="shared" si="37"/>
        <v>-4240570.7436476732</v>
      </c>
    </row>
    <row r="291" spans="1:9" ht="13.8">
      <c r="A291" s="81">
        <f>IF(Values_Entered,A290+1,"")</f>
        <v>274</v>
      </c>
      <c r="B291" s="78">
        <f t="shared" si="38"/>
        <v>52949</v>
      </c>
      <c r="C291" s="80">
        <f t="shared" si="39"/>
        <v>-4240570.7436476732</v>
      </c>
      <c r="D291" s="77">
        <f t="shared" si="32"/>
        <v>106087.86919144379</v>
      </c>
      <c r="E291" s="74">
        <f t="shared" si="33"/>
        <v>0</v>
      </c>
      <c r="F291" s="77">
        <f t="shared" si="34"/>
        <v>106087.86919144379</v>
      </c>
      <c r="G291" s="77">
        <f t="shared" si="35"/>
        <v>155561.19453399998</v>
      </c>
      <c r="H291" s="77">
        <f t="shared" si="36"/>
        <v>-49473.325342556192</v>
      </c>
      <c r="I291" s="77">
        <f t="shared" si="37"/>
        <v>-4396131.9381816732</v>
      </c>
    </row>
    <row r="292" spans="1:9" ht="13.8">
      <c r="A292" s="81">
        <f>IF(Values_Entered,A291+1,"")</f>
        <v>275</v>
      </c>
      <c r="B292" s="78">
        <f t="shared" si="38"/>
        <v>52980</v>
      </c>
      <c r="C292" s="80">
        <f t="shared" si="39"/>
        <v>-4396131.9381816732</v>
      </c>
      <c r="D292" s="77">
        <f t="shared" si="32"/>
        <v>106087.86919144379</v>
      </c>
      <c r="E292" s="74">
        <f t="shared" si="33"/>
        <v>0</v>
      </c>
      <c r="F292" s="77">
        <f t="shared" si="34"/>
        <v>106087.86919144379</v>
      </c>
      <c r="G292" s="77">
        <f t="shared" si="35"/>
        <v>157376.07513689666</v>
      </c>
      <c r="H292" s="77">
        <f t="shared" si="36"/>
        <v>-51288.205945452857</v>
      </c>
      <c r="I292" s="77">
        <f t="shared" si="37"/>
        <v>-4553508.0133185694</v>
      </c>
    </row>
    <row r="293" spans="1:9" ht="13.8">
      <c r="A293" s="81">
        <f>IF(Values_Entered,A292+1,"")</f>
        <v>276</v>
      </c>
      <c r="B293" s="78">
        <f t="shared" si="38"/>
        <v>53011</v>
      </c>
      <c r="C293" s="80">
        <f t="shared" si="39"/>
        <v>-4553508.0133185694</v>
      </c>
      <c r="D293" s="77">
        <f t="shared" si="32"/>
        <v>106087.86919144379</v>
      </c>
      <c r="E293" s="74">
        <f t="shared" si="33"/>
        <v>0</v>
      </c>
      <c r="F293" s="77">
        <f t="shared" si="34"/>
        <v>106087.86919144379</v>
      </c>
      <c r="G293" s="77">
        <f t="shared" si="35"/>
        <v>159212.1293468271</v>
      </c>
      <c r="H293" s="77">
        <f t="shared" si="36"/>
        <v>-53124.260155383316</v>
      </c>
      <c r="I293" s="77">
        <f t="shared" si="37"/>
        <v>-4712720.1426653964</v>
      </c>
    </row>
    <row r="294" spans="1:9" ht="13.8">
      <c r="A294" s="81">
        <f>IF(Values_Entered,A293+1,"")</f>
        <v>277</v>
      </c>
      <c r="B294" s="78">
        <f t="shared" si="38"/>
        <v>53039</v>
      </c>
      <c r="C294" s="80">
        <f t="shared" si="39"/>
        <v>-4712720.1426653964</v>
      </c>
      <c r="D294" s="77">
        <f t="shared" si="32"/>
        <v>106087.86919144379</v>
      </c>
      <c r="E294" s="74">
        <f t="shared" si="33"/>
        <v>0</v>
      </c>
      <c r="F294" s="77">
        <f t="shared" si="34"/>
        <v>106087.86919144379</v>
      </c>
      <c r="G294" s="77">
        <f t="shared" si="35"/>
        <v>161069.60418920676</v>
      </c>
      <c r="H294" s="77">
        <f t="shared" si="36"/>
        <v>-54981.734997762956</v>
      </c>
      <c r="I294" s="77">
        <f t="shared" si="37"/>
        <v>-4873789.7468546033</v>
      </c>
    </row>
    <row r="295" spans="1:9" ht="13.8">
      <c r="A295" s="81">
        <f>IF(Values_Entered,A294+1,"")</f>
        <v>278</v>
      </c>
      <c r="B295" s="78">
        <f t="shared" si="38"/>
        <v>53070</v>
      </c>
      <c r="C295" s="80">
        <f t="shared" si="39"/>
        <v>-4873789.7468546033</v>
      </c>
      <c r="D295" s="77">
        <f t="shared" si="32"/>
        <v>106087.86919144379</v>
      </c>
      <c r="E295" s="74">
        <f t="shared" si="33"/>
        <v>0</v>
      </c>
      <c r="F295" s="77">
        <f t="shared" si="34"/>
        <v>106087.86919144379</v>
      </c>
      <c r="G295" s="77">
        <f t="shared" si="35"/>
        <v>162948.74957141417</v>
      </c>
      <c r="H295" s="77">
        <f t="shared" si="36"/>
        <v>-56860.880379970382</v>
      </c>
      <c r="I295" s="77">
        <f t="shared" si="37"/>
        <v>-5036738.496426017</v>
      </c>
    </row>
    <row r="296" spans="1:9" ht="13.8">
      <c r="A296" s="81">
        <f>IF(Values_Entered,A295+1,"")</f>
        <v>279</v>
      </c>
      <c r="B296" s="78">
        <f t="shared" si="38"/>
        <v>53100</v>
      </c>
      <c r="C296" s="80">
        <f t="shared" si="39"/>
        <v>-5036738.496426017</v>
      </c>
      <c r="D296" s="77">
        <f t="shared" si="32"/>
        <v>106087.86919144379</v>
      </c>
      <c r="E296" s="74">
        <f t="shared" si="33"/>
        <v>0</v>
      </c>
      <c r="F296" s="77">
        <f t="shared" si="34"/>
        <v>106087.86919144379</v>
      </c>
      <c r="G296" s="77">
        <f t="shared" si="35"/>
        <v>164849.81831641399</v>
      </c>
      <c r="H296" s="77">
        <f t="shared" si="36"/>
        <v>-58761.949124970204</v>
      </c>
      <c r="I296" s="77">
        <f t="shared" si="37"/>
        <v>-5201588.314742431</v>
      </c>
    </row>
    <row r="297" spans="1:9" ht="13.8">
      <c r="A297" s="81">
        <f>IF(Values_Entered,A296+1,"")</f>
        <v>280</v>
      </c>
      <c r="B297" s="78">
        <f t="shared" si="38"/>
        <v>53131</v>
      </c>
      <c r="C297" s="80">
        <f t="shared" si="39"/>
        <v>-5201588.314742431</v>
      </c>
      <c r="D297" s="77">
        <f t="shared" si="32"/>
        <v>106087.86919144379</v>
      </c>
      <c r="E297" s="74">
        <f t="shared" si="33"/>
        <v>0</v>
      </c>
      <c r="F297" s="77">
        <f t="shared" si="34"/>
        <v>106087.86919144379</v>
      </c>
      <c r="G297" s="77">
        <f t="shared" si="35"/>
        <v>166773.06619677215</v>
      </c>
      <c r="H297" s="77">
        <f t="shared" si="36"/>
        <v>-60685.197005328366</v>
      </c>
      <c r="I297" s="77">
        <f t="shared" si="37"/>
        <v>-5368361.3809392033</v>
      </c>
    </row>
    <row r="298" spans="1:9" ht="13.8">
      <c r="A298" s="81">
        <f>IF(Values_Entered,A297+1,"")</f>
        <v>281</v>
      </c>
      <c r="B298" s="78">
        <f t="shared" si="38"/>
        <v>53161</v>
      </c>
      <c r="C298" s="80">
        <f t="shared" si="39"/>
        <v>-5368361.3809392033</v>
      </c>
      <c r="D298" s="77">
        <f t="shared" si="32"/>
        <v>106087.86919144379</v>
      </c>
      <c r="E298" s="74">
        <f t="shared" si="33"/>
        <v>0</v>
      </c>
      <c r="F298" s="77">
        <f t="shared" si="34"/>
        <v>106087.86919144379</v>
      </c>
      <c r="G298" s="77">
        <f t="shared" si="35"/>
        <v>168718.75196906785</v>
      </c>
      <c r="H298" s="77">
        <f t="shared" si="36"/>
        <v>-62630.882777624043</v>
      </c>
      <c r="I298" s="77">
        <f t="shared" si="37"/>
        <v>-5537080.1329082716</v>
      </c>
    </row>
    <row r="299" spans="1:9" ht="13.8">
      <c r="A299" s="81">
        <f>IF(Values_Entered,A298+1,"")</f>
        <v>282</v>
      </c>
      <c r="B299" s="78">
        <f t="shared" si="38"/>
        <v>53192</v>
      </c>
      <c r="C299" s="80">
        <f t="shared" si="39"/>
        <v>-5537080.1329082716</v>
      </c>
      <c r="D299" s="77">
        <f t="shared" si="32"/>
        <v>106087.86919144379</v>
      </c>
      <c r="E299" s="74">
        <f t="shared" si="33"/>
        <v>0</v>
      </c>
      <c r="F299" s="77">
        <f t="shared" si="34"/>
        <v>106087.86919144379</v>
      </c>
      <c r="G299" s="77">
        <f t="shared" si="35"/>
        <v>170687.13740870697</v>
      </c>
      <c r="H299" s="77">
        <f t="shared" si="36"/>
        <v>-64599.268217263168</v>
      </c>
      <c r="I299" s="77">
        <f t="shared" si="37"/>
        <v>-5707767.2703169789</v>
      </c>
    </row>
    <row r="300" spans="1:9" ht="13.8">
      <c r="A300" s="81">
        <f>IF(Values_Entered,A299+1,"")</f>
        <v>283</v>
      </c>
      <c r="B300" s="78">
        <f t="shared" si="38"/>
        <v>53223</v>
      </c>
      <c r="C300" s="80">
        <f t="shared" si="39"/>
        <v>-5707767.2703169789</v>
      </c>
      <c r="D300" s="77">
        <f t="shared" si="32"/>
        <v>106087.86919144379</v>
      </c>
      <c r="E300" s="74">
        <f t="shared" si="33"/>
        <v>0</v>
      </c>
      <c r="F300" s="77">
        <f t="shared" si="34"/>
        <v>106087.86919144379</v>
      </c>
      <c r="G300" s="77">
        <f t="shared" si="35"/>
        <v>172678.48734514188</v>
      </c>
      <c r="H300" s="77">
        <f t="shared" si="36"/>
        <v>-66590.618153698088</v>
      </c>
      <c r="I300" s="77">
        <f t="shared" si="37"/>
        <v>-5880445.7576621212</v>
      </c>
    </row>
    <row r="301" spans="1:9" ht="13.8">
      <c r="A301" s="81">
        <f>IF(Values_Entered,A300+1,"")</f>
        <v>284</v>
      </c>
      <c r="B301" s="78">
        <f t="shared" si="38"/>
        <v>53253</v>
      </c>
      <c r="C301" s="80">
        <f t="shared" si="39"/>
        <v>-5880445.7576621212</v>
      </c>
      <c r="D301" s="77">
        <f t="shared" si="32"/>
        <v>106087.86919144379</v>
      </c>
      <c r="E301" s="74">
        <f t="shared" si="33"/>
        <v>0</v>
      </c>
      <c r="F301" s="77">
        <f t="shared" si="34"/>
        <v>106087.86919144379</v>
      </c>
      <c r="G301" s="77">
        <f t="shared" si="35"/>
        <v>174693.06969750189</v>
      </c>
      <c r="H301" s="77">
        <f t="shared" si="36"/>
        <v>-68605.200506058085</v>
      </c>
      <c r="I301" s="77">
        <f t="shared" si="37"/>
        <v>-6055138.8273596233</v>
      </c>
    </row>
    <row r="302" spans="1:9" ht="13.8">
      <c r="A302" s="81">
        <f>IF(Values_Entered,A301+1,"")</f>
        <v>285</v>
      </c>
      <c r="B302" s="78">
        <f t="shared" si="38"/>
        <v>53284</v>
      </c>
      <c r="C302" s="80">
        <f t="shared" si="39"/>
        <v>-6055138.8273596233</v>
      </c>
      <c r="D302" s="77">
        <f t="shared" si="32"/>
        <v>106087.86919144379</v>
      </c>
      <c r="E302" s="74">
        <f t="shared" si="33"/>
        <v>0</v>
      </c>
      <c r="F302" s="77">
        <f t="shared" si="34"/>
        <v>106087.86919144379</v>
      </c>
      <c r="G302" s="77">
        <f t="shared" si="35"/>
        <v>176731.15551063942</v>
      </c>
      <c r="H302" s="77">
        <f t="shared" si="36"/>
        <v>-70643.286319195613</v>
      </c>
      <c r="I302" s="77">
        <f t="shared" si="37"/>
        <v>-6231869.982870263</v>
      </c>
    </row>
    <row r="303" spans="1:9" ht="13.8">
      <c r="A303" s="81">
        <f>IF(Values_Entered,A302+1,"")</f>
        <v>286</v>
      </c>
      <c r="B303" s="78">
        <f t="shared" si="38"/>
        <v>53314</v>
      </c>
      <c r="C303" s="80">
        <f t="shared" si="39"/>
        <v>-6231869.982870263</v>
      </c>
      <c r="D303" s="77">
        <f t="shared" si="32"/>
        <v>106087.86919144379</v>
      </c>
      <c r="E303" s="74">
        <f t="shared" si="33"/>
        <v>0</v>
      </c>
      <c r="F303" s="77">
        <f t="shared" si="34"/>
        <v>106087.86919144379</v>
      </c>
      <c r="G303" s="77">
        <f t="shared" si="35"/>
        <v>178793.01899159688</v>
      </c>
      <c r="H303" s="77">
        <f t="shared" si="36"/>
        <v>-72705.149800153085</v>
      </c>
      <c r="I303" s="77">
        <f t="shared" si="37"/>
        <v>-6410663.00186186</v>
      </c>
    </row>
    <row r="304" spans="1:9" ht="13.8">
      <c r="A304" s="81">
        <f>IF(Values_Entered,A303+1,"")</f>
        <v>287</v>
      </c>
      <c r="B304" s="78">
        <f t="shared" si="38"/>
        <v>53345</v>
      </c>
      <c r="C304" s="80">
        <f t="shared" si="39"/>
        <v>-6410663.00186186</v>
      </c>
      <c r="D304" s="77">
        <f t="shared" si="32"/>
        <v>106087.86919144379</v>
      </c>
      <c r="E304" s="74">
        <f t="shared" si="33"/>
        <v>0</v>
      </c>
      <c r="F304" s="77">
        <f t="shared" si="34"/>
        <v>106087.86919144379</v>
      </c>
      <c r="G304" s="77">
        <f t="shared" si="35"/>
        <v>180878.93754649884</v>
      </c>
      <c r="H304" s="77">
        <f t="shared" si="36"/>
        <v>-74791.068355055046</v>
      </c>
      <c r="I304" s="77">
        <f t="shared" si="37"/>
        <v>-6591541.9394083591</v>
      </c>
    </row>
    <row r="305" spans="1:9" ht="13.8">
      <c r="A305" s="81">
        <f>IF(Values_Entered,A304+1,"")</f>
        <v>288</v>
      </c>
      <c r="B305" s="78">
        <f t="shared" si="38"/>
        <v>53376</v>
      </c>
      <c r="C305" s="80">
        <f t="shared" si="39"/>
        <v>-6591541.9394083591</v>
      </c>
      <c r="D305" s="77">
        <f t="shared" si="32"/>
        <v>106087.86919144379</v>
      </c>
      <c r="E305" s="74">
        <f t="shared" si="33"/>
        <v>0</v>
      </c>
      <c r="F305" s="77">
        <f t="shared" si="34"/>
        <v>106087.86919144379</v>
      </c>
      <c r="G305" s="77">
        <f t="shared" si="35"/>
        <v>182989.19181787467</v>
      </c>
      <c r="H305" s="77">
        <f t="shared" si="36"/>
        <v>-76901.322626430861</v>
      </c>
      <c r="I305" s="77">
        <f t="shared" si="37"/>
        <v>-6774531.1312262341</v>
      </c>
    </row>
    <row r="306" spans="1:9" ht="13.8">
      <c r="A306" s="81">
        <f>IF(Values_Entered,A305+1,"")</f>
        <v>289</v>
      </c>
      <c r="B306" s="78">
        <f t="shared" si="38"/>
        <v>53404</v>
      </c>
      <c r="C306" s="80">
        <f t="shared" si="39"/>
        <v>-6774531.1312262341</v>
      </c>
      <c r="D306" s="77">
        <f t="shared" si="32"/>
        <v>106087.86919144379</v>
      </c>
      <c r="E306" s="74">
        <f t="shared" si="33"/>
        <v>0</v>
      </c>
      <c r="F306" s="77">
        <f t="shared" si="34"/>
        <v>106087.86919144379</v>
      </c>
      <c r="G306" s="77">
        <f t="shared" si="35"/>
        <v>185124.06572241653</v>
      </c>
      <c r="H306" s="77">
        <f t="shared" si="36"/>
        <v>-79036.196530972738</v>
      </c>
      <c r="I306" s="77">
        <f t="shared" si="37"/>
        <v>-6959655.1969486503</v>
      </c>
    </row>
    <row r="307" spans="1:9" ht="13.8">
      <c r="A307" s="81">
        <f>IF(Values_Entered,A306+1,"")</f>
        <v>290</v>
      </c>
      <c r="B307" s="78">
        <f t="shared" si="38"/>
        <v>53435</v>
      </c>
      <c r="C307" s="80">
        <f t="shared" si="39"/>
        <v>-6959655.1969486503</v>
      </c>
      <c r="D307" s="77">
        <f t="shared" si="32"/>
        <v>106087.86919144379</v>
      </c>
      <c r="E307" s="74">
        <f t="shared" si="33"/>
        <v>0</v>
      </c>
      <c r="F307" s="77">
        <f t="shared" si="34"/>
        <v>106087.86919144379</v>
      </c>
      <c r="G307" s="77">
        <f t="shared" si="35"/>
        <v>187283.84648917807</v>
      </c>
      <c r="H307" s="77">
        <f t="shared" si="36"/>
        <v>-81195.977297734265</v>
      </c>
      <c r="I307" s="77">
        <f t="shared" si="37"/>
        <v>-7146939.0434378283</v>
      </c>
    </row>
    <row r="308" spans="1:9" ht="13.8">
      <c r="A308" s="81">
        <f>IF(Values_Entered,A307+1,"")</f>
        <v>291</v>
      </c>
      <c r="B308" s="78">
        <f t="shared" si="38"/>
        <v>53465</v>
      </c>
      <c r="C308" s="80">
        <f t="shared" si="39"/>
        <v>-7146939.0434378283</v>
      </c>
      <c r="D308" s="77">
        <f t="shared" si="32"/>
        <v>106087.86919144379</v>
      </c>
      <c r="E308" s="74">
        <f t="shared" si="33"/>
        <v>0</v>
      </c>
      <c r="F308" s="77">
        <f t="shared" si="34"/>
        <v>106087.86919144379</v>
      </c>
      <c r="G308" s="77">
        <f t="shared" si="35"/>
        <v>189468.82469821846</v>
      </c>
      <c r="H308" s="77">
        <f t="shared" si="36"/>
        <v>-83380.95550677467</v>
      </c>
      <c r="I308" s="77">
        <f t="shared" si="37"/>
        <v>-7336407.8681360465</v>
      </c>
    </row>
    <row r="309" spans="1:9" ht="13.8">
      <c r="A309" s="81">
        <f>IF(Values_Entered,A308+1,"")</f>
        <v>292</v>
      </c>
      <c r="B309" s="78">
        <f t="shared" si="38"/>
        <v>53496</v>
      </c>
      <c r="C309" s="80">
        <f t="shared" si="39"/>
        <v>-7336407.8681360465</v>
      </c>
      <c r="D309" s="77">
        <f t="shared" si="32"/>
        <v>106087.86919144379</v>
      </c>
      <c r="E309" s="74">
        <f t="shared" si="33"/>
        <v>0</v>
      </c>
      <c r="F309" s="77">
        <f t="shared" si="34"/>
        <v>106087.86919144379</v>
      </c>
      <c r="G309" s="77">
        <f t="shared" si="35"/>
        <v>191679.29431969768</v>
      </c>
      <c r="H309" s="77">
        <f t="shared" si="36"/>
        <v>-85591.42512825389</v>
      </c>
      <c r="I309" s="77">
        <f t="shared" si="37"/>
        <v>-7528087.1624557441</v>
      </c>
    </row>
    <row r="310" spans="1:9" ht="13.8">
      <c r="A310" s="81">
        <f>IF(Values_Entered,A309+1,"")</f>
        <v>293</v>
      </c>
      <c r="B310" s="78">
        <f t="shared" si="38"/>
        <v>53526</v>
      </c>
      <c r="C310" s="80">
        <f t="shared" si="39"/>
        <v>-7528087.1624557441</v>
      </c>
      <c r="D310" s="77">
        <f t="shared" si="32"/>
        <v>106087.86919144379</v>
      </c>
      <c r="E310" s="74">
        <f t="shared" si="33"/>
        <v>0</v>
      </c>
      <c r="F310" s="77">
        <f t="shared" si="34"/>
        <v>106087.86919144379</v>
      </c>
      <c r="G310" s="77">
        <f t="shared" si="35"/>
        <v>193915.55275342747</v>
      </c>
      <c r="H310" s="77">
        <f t="shared" si="36"/>
        <v>-87827.683561983693</v>
      </c>
      <c r="I310" s="77">
        <f t="shared" si="37"/>
        <v>-7722002.7152091712</v>
      </c>
    </row>
    <row r="311" spans="1:9" ht="13.8">
      <c r="A311" s="81">
        <f>IF(Values_Entered,A310+1,"")</f>
        <v>294</v>
      </c>
      <c r="B311" s="78">
        <f t="shared" si="38"/>
        <v>53557</v>
      </c>
      <c r="C311" s="80">
        <f t="shared" si="39"/>
        <v>-7722002.7152091712</v>
      </c>
      <c r="D311" s="77">
        <f t="shared" si="32"/>
        <v>106087.86919144379</v>
      </c>
      <c r="E311" s="74">
        <f t="shared" si="33"/>
        <v>0</v>
      </c>
      <c r="F311" s="77">
        <f t="shared" si="34"/>
        <v>106087.86919144379</v>
      </c>
      <c r="G311" s="77">
        <f t="shared" si="35"/>
        <v>196177.90086888411</v>
      </c>
      <c r="H311" s="77">
        <f t="shared" si="36"/>
        <v>-90090.031677440333</v>
      </c>
      <c r="I311" s="77">
        <f t="shared" si="37"/>
        <v>-7918180.6160780555</v>
      </c>
    </row>
    <row r="312" spans="1:9" ht="13.8">
      <c r="A312" s="81">
        <f>IF(Values_Entered,A311+1,"")</f>
        <v>295</v>
      </c>
      <c r="B312" s="78">
        <f t="shared" si="38"/>
        <v>53588</v>
      </c>
      <c r="C312" s="80">
        <f t="shared" si="39"/>
        <v>-7918180.6160780555</v>
      </c>
      <c r="D312" s="77">
        <f t="shared" si="32"/>
        <v>106087.86919144379</v>
      </c>
      <c r="E312" s="74">
        <f t="shared" si="33"/>
        <v>0</v>
      </c>
      <c r="F312" s="77">
        <f t="shared" si="34"/>
        <v>106087.86919144379</v>
      </c>
      <c r="G312" s="77">
        <f t="shared" si="35"/>
        <v>198466.64304568779</v>
      </c>
      <c r="H312" s="77">
        <f t="shared" si="36"/>
        <v>-92378.773854243991</v>
      </c>
      <c r="I312" s="77">
        <f t="shared" si="37"/>
        <v>-8116647.2591237435</v>
      </c>
    </row>
    <row r="313" spans="1:9" ht="13.8">
      <c r="A313" s="81">
        <f>IF(Values_Entered,A312+1,"")</f>
        <v>296</v>
      </c>
      <c r="B313" s="78">
        <f t="shared" si="38"/>
        <v>53618</v>
      </c>
      <c r="C313" s="80">
        <f t="shared" si="39"/>
        <v>-8116647.2591237435</v>
      </c>
      <c r="D313" s="77">
        <f t="shared" si="32"/>
        <v>106087.86919144379</v>
      </c>
      <c r="E313" s="74">
        <f t="shared" si="33"/>
        <v>0</v>
      </c>
      <c r="F313" s="77">
        <f t="shared" si="34"/>
        <v>106087.86919144379</v>
      </c>
      <c r="G313" s="77">
        <f t="shared" si="35"/>
        <v>200782.08721455414</v>
      </c>
      <c r="H313" s="77">
        <f t="shared" si="36"/>
        <v>-94694.218023110356</v>
      </c>
      <c r="I313" s="77">
        <f t="shared" si="37"/>
        <v>-8317429.3463382972</v>
      </c>
    </row>
    <row r="314" spans="1:9" ht="13.8">
      <c r="A314" s="81">
        <f>IF(Values_Entered,A313+1,"")</f>
        <v>297</v>
      </c>
      <c r="B314" s="78">
        <f t="shared" si="38"/>
        <v>53649</v>
      </c>
      <c r="C314" s="80">
        <f t="shared" si="39"/>
        <v>-8317429.3463382972</v>
      </c>
      <c r="D314" s="77">
        <f t="shared" si="32"/>
        <v>106087.86919144379</v>
      </c>
      <c r="E314" s="74">
        <f t="shared" si="33"/>
        <v>0</v>
      </c>
      <c r="F314" s="77">
        <f t="shared" si="34"/>
        <v>106087.86919144379</v>
      </c>
      <c r="G314" s="77">
        <f t="shared" si="35"/>
        <v>203124.54489872395</v>
      </c>
      <c r="H314" s="77">
        <f t="shared" si="36"/>
        <v>-97036.675707280156</v>
      </c>
      <c r="I314" s="77">
        <f t="shared" si="37"/>
        <v>-8520553.8912370205</v>
      </c>
    </row>
    <row r="315" spans="1:9" ht="13.8">
      <c r="A315" s="81">
        <f>IF(Values_Entered,A314+1,"")</f>
        <v>298</v>
      </c>
      <c r="B315" s="78">
        <f t="shared" si="38"/>
        <v>53679</v>
      </c>
      <c r="C315" s="80">
        <f t="shared" si="39"/>
        <v>-8520553.8912370205</v>
      </c>
      <c r="D315" s="77">
        <f t="shared" si="32"/>
        <v>106087.86919144379</v>
      </c>
      <c r="E315" s="74">
        <f t="shared" si="33"/>
        <v>0</v>
      </c>
      <c r="F315" s="77">
        <f t="shared" si="34"/>
        <v>106087.86919144379</v>
      </c>
      <c r="G315" s="77">
        <f t="shared" si="35"/>
        <v>205494.3312558757</v>
      </c>
      <c r="H315" s="77">
        <f t="shared" si="36"/>
        <v>-99406.462064431922</v>
      </c>
      <c r="I315" s="77">
        <f t="shared" si="37"/>
        <v>-8726048.222492896</v>
      </c>
    </row>
    <row r="316" spans="1:9" ht="13.8">
      <c r="A316" s="81">
        <f>IF(Values_Entered,A315+1,"")</f>
        <v>299</v>
      </c>
      <c r="B316" s="78">
        <f t="shared" si="38"/>
        <v>53710</v>
      </c>
      <c r="C316" s="80">
        <f t="shared" si="39"/>
        <v>-8726048.222492896</v>
      </c>
      <c r="D316" s="77">
        <f t="shared" si="32"/>
        <v>106087.86919144379</v>
      </c>
      <c r="E316" s="74">
        <f t="shared" si="33"/>
        <v>0</v>
      </c>
      <c r="F316" s="77">
        <f t="shared" si="34"/>
        <v>106087.86919144379</v>
      </c>
      <c r="G316" s="77">
        <f t="shared" si="35"/>
        <v>207891.76512052759</v>
      </c>
      <c r="H316" s="77">
        <f t="shared" si="36"/>
        <v>-101803.8959290838</v>
      </c>
      <c r="I316" s="77">
        <f t="shared" si="37"/>
        <v>-8933939.9876134228</v>
      </c>
    </row>
    <row r="317" spans="1:9" ht="13.8">
      <c r="A317" s="81">
        <f>IF(Values_Entered,A316+1,"")</f>
        <v>300</v>
      </c>
      <c r="B317" s="78">
        <f t="shared" si="38"/>
        <v>53741</v>
      </c>
      <c r="C317" s="80">
        <f t="shared" si="39"/>
        <v>-8933939.9876134228</v>
      </c>
      <c r="D317" s="77">
        <f t="shared" si="32"/>
        <v>106087.86919144379</v>
      </c>
      <c r="E317" s="74">
        <f t="shared" si="33"/>
        <v>0</v>
      </c>
      <c r="F317" s="77">
        <f t="shared" si="34"/>
        <v>106087.86919144379</v>
      </c>
      <c r="G317" s="77">
        <f t="shared" si="35"/>
        <v>210317.16904693373</v>
      </c>
      <c r="H317" s="77">
        <f t="shared" si="36"/>
        <v>-104229.29985548994</v>
      </c>
      <c r="I317" s="77">
        <f t="shared" si="37"/>
        <v>-9144257.1566603556</v>
      </c>
    </row>
    <row r="318" spans="1:9" ht="13.8">
      <c r="A318" s="81">
        <f>IF(Values_Entered,A317+1,"")</f>
        <v>301</v>
      </c>
      <c r="B318" s="78">
        <f t="shared" si="38"/>
        <v>53769</v>
      </c>
      <c r="C318" s="80">
        <f t="shared" si="39"/>
        <v>-9144257.1566603556</v>
      </c>
      <c r="D318" s="77">
        <f t="shared" si="32"/>
        <v>106087.86919144379</v>
      </c>
      <c r="E318" s="74">
        <f t="shared" si="33"/>
        <v>0</v>
      </c>
      <c r="F318" s="77">
        <f t="shared" si="34"/>
        <v>106087.86919144379</v>
      </c>
      <c r="G318" s="77">
        <f t="shared" si="35"/>
        <v>212770.86935248127</v>
      </c>
      <c r="H318" s="77">
        <f t="shared" si="36"/>
        <v>-106683.00016103749</v>
      </c>
      <c r="I318" s="77">
        <f t="shared" si="37"/>
        <v>-9357028.026012836</v>
      </c>
    </row>
    <row r="319" spans="1:9" ht="13.8">
      <c r="A319" s="81">
        <f>IF(Values_Entered,A318+1,"")</f>
        <v>302</v>
      </c>
      <c r="B319" s="78">
        <f t="shared" si="38"/>
        <v>53800</v>
      </c>
      <c r="C319" s="80">
        <f t="shared" si="39"/>
        <v>-9357028.026012836</v>
      </c>
      <c r="D319" s="77">
        <f t="shared" si="32"/>
        <v>106087.86919144379</v>
      </c>
      <c r="E319" s="74">
        <f t="shared" si="33"/>
        <v>0</v>
      </c>
      <c r="F319" s="77">
        <f t="shared" si="34"/>
        <v>106087.86919144379</v>
      </c>
      <c r="G319" s="77">
        <f t="shared" si="35"/>
        <v>215253.19616159354</v>
      </c>
      <c r="H319" s="77">
        <f t="shared" si="36"/>
        <v>-109165.32697014976</v>
      </c>
      <c r="I319" s="77">
        <f t="shared" si="37"/>
        <v>-9572281.2221744303</v>
      </c>
    </row>
    <row r="320" spans="1:9" ht="13.8">
      <c r="A320" s="81">
        <f>IF(Values_Entered,A319+1,"")</f>
        <v>303</v>
      </c>
      <c r="B320" s="78">
        <f t="shared" si="38"/>
        <v>53830</v>
      </c>
      <c r="C320" s="80">
        <f t="shared" si="39"/>
        <v>-9572281.2221744303</v>
      </c>
      <c r="D320" s="77">
        <f t="shared" si="32"/>
        <v>106087.86919144379</v>
      </c>
      <c r="E320" s="74">
        <f t="shared" si="33"/>
        <v>0</v>
      </c>
      <c r="F320" s="77">
        <f t="shared" si="34"/>
        <v>106087.86919144379</v>
      </c>
      <c r="G320" s="77">
        <f t="shared" si="35"/>
        <v>217764.48345014549</v>
      </c>
      <c r="H320" s="77">
        <f t="shared" si="36"/>
        <v>-111676.61425870169</v>
      </c>
      <c r="I320" s="77">
        <f t="shared" si="37"/>
        <v>-9790045.7056245767</v>
      </c>
    </row>
    <row r="321" spans="1:9" ht="13.8">
      <c r="A321" s="81">
        <f>IF(Values_Entered,A320+1,"")</f>
        <v>304</v>
      </c>
      <c r="B321" s="78">
        <f t="shared" si="38"/>
        <v>53861</v>
      </c>
      <c r="C321" s="80">
        <f t="shared" si="39"/>
        <v>-9790045.7056245767</v>
      </c>
      <c r="D321" s="77">
        <f t="shared" si="32"/>
        <v>106087.86919144379</v>
      </c>
      <c r="E321" s="74">
        <f t="shared" si="33"/>
        <v>0</v>
      </c>
      <c r="F321" s="77">
        <f t="shared" si="34"/>
        <v>106087.86919144379</v>
      </c>
      <c r="G321" s="77">
        <f t="shared" si="35"/>
        <v>220305.06909039721</v>
      </c>
      <c r="H321" s="77">
        <f t="shared" si="36"/>
        <v>-114217.19989895342</v>
      </c>
      <c r="I321" s="77">
        <f t="shared" si="37"/>
        <v>-10010350.774714975</v>
      </c>
    </row>
    <row r="322" spans="1:9" ht="13.8">
      <c r="A322" s="81">
        <f>IF(Values_Entered,A321+1,"")</f>
        <v>305</v>
      </c>
      <c r="B322" s="78">
        <f t="shared" si="38"/>
        <v>53891</v>
      </c>
      <c r="C322" s="80">
        <f t="shared" si="39"/>
        <v>-10010350.774714975</v>
      </c>
      <c r="D322" s="77">
        <f t="shared" si="32"/>
        <v>106087.86919144379</v>
      </c>
      <c r="E322" s="74">
        <f t="shared" si="33"/>
        <v>0</v>
      </c>
      <c r="F322" s="77">
        <f t="shared" si="34"/>
        <v>106087.86919144379</v>
      </c>
      <c r="G322" s="77">
        <f t="shared" si="35"/>
        <v>222875.29489645184</v>
      </c>
      <c r="H322" s="77">
        <f t="shared" si="36"/>
        <v>-116787.42570500805</v>
      </c>
      <c r="I322" s="77">
        <f t="shared" si="37"/>
        <v>-10233226.069611426</v>
      </c>
    </row>
    <row r="323" spans="1:9" ht="13.8">
      <c r="A323" s="81">
        <f>IF(Values_Entered,A322+1,"")</f>
        <v>306</v>
      </c>
      <c r="B323" s="78">
        <f t="shared" si="38"/>
        <v>53922</v>
      </c>
      <c r="C323" s="80">
        <f t="shared" si="39"/>
        <v>-10233226.069611426</v>
      </c>
      <c r="D323" s="77">
        <f t="shared" si="32"/>
        <v>106087.86919144379</v>
      </c>
      <c r="E323" s="74">
        <f t="shared" si="33"/>
        <v>0</v>
      </c>
      <c r="F323" s="77">
        <f t="shared" si="34"/>
        <v>106087.86919144379</v>
      </c>
      <c r="G323" s="77">
        <f t="shared" si="35"/>
        <v>225475.50667024378</v>
      </c>
      <c r="H323" s="77">
        <f t="shared" si="36"/>
        <v>-119387.63747879998</v>
      </c>
      <c r="I323" s="77">
        <f t="shared" si="37"/>
        <v>-10458701.57628167</v>
      </c>
    </row>
    <row r="324" spans="1:9" ht="13.8">
      <c r="A324" s="81">
        <f>IF(Values_Entered,A323+1,"")</f>
        <v>307</v>
      </c>
      <c r="B324" s="78">
        <f t="shared" si="38"/>
        <v>53953</v>
      </c>
      <c r="C324" s="80">
        <f t="shared" si="39"/>
        <v>-10458701.57628167</v>
      </c>
      <c r="D324" s="77">
        <f t="shared" si="32"/>
        <v>106087.86919144379</v>
      </c>
      <c r="E324" s="74">
        <f t="shared" si="33"/>
        <v>0</v>
      </c>
      <c r="F324" s="77">
        <f t="shared" si="34"/>
        <v>106087.86919144379</v>
      </c>
      <c r="G324" s="77">
        <f t="shared" si="35"/>
        <v>228106.0542480633</v>
      </c>
      <c r="H324" s="77">
        <f t="shared" si="36"/>
        <v>-122018.18505661951</v>
      </c>
      <c r="I324" s="77">
        <f t="shared" si="37"/>
        <v>-10686807.630529733</v>
      </c>
    </row>
    <row r="325" spans="1:9" ht="13.8">
      <c r="A325" s="81">
        <f>IF(Values_Entered,A324+1,"")</f>
        <v>308</v>
      </c>
      <c r="B325" s="78">
        <f t="shared" si="38"/>
        <v>53983</v>
      </c>
      <c r="C325" s="80">
        <f t="shared" si="39"/>
        <v>-10686807.630529733</v>
      </c>
      <c r="D325" s="77">
        <f t="shared" si="32"/>
        <v>106087.86919144379</v>
      </c>
      <c r="E325" s="74">
        <f t="shared" si="33"/>
        <v>0</v>
      </c>
      <c r="F325" s="77">
        <f t="shared" si="34"/>
        <v>106087.86919144379</v>
      </c>
      <c r="G325" s="77">
        <f t="shared" si="35"/>
        <v>230767.29154762402</v>
      </c>
      <c r="H325" s="77">
        <f t="shared" si="36"/>
        <v>-124679.42235618022</v>
      </c>
      <c r="I325" s="77">
        <f t="shared" si="37"/>
        <v>-10917574.922077358</v>
      </c>
    </row>
    <row r="326" spans="1:9" ht="13.8">
      <c r="A326" s="81">
        <f>IF(Values_Entered,A325+1,"")</f>
        <v>309</v>
      </c>
      <c r="B326" s="78">
        <f t="shared" si="38"/>
        <v>54014</v>
      </c>
      <c r="C326" s="80">
        <f t="shared" si="39"/>
        <v>-10917574.922077358</v>
      </c>
      <c r="D326" s="77">
        <f t="shared" si="32"/>
        <v>106087.86919144379</v>
      </c>
      <c r="E326" s="74">
        <f t="shared" si="33"/>
        <v>0</v>
      </c>
      <c r="F326" s="77">
        <f t="shared" si="34"/>
        <v>106087.86919144379</v>
      </c>
      <c r="G326" s="77">
        <f t="shared" si="35"/>
        <v>233459.57661567966</v>
      </c>
      <c r="H326" s="77">
        <f t="shared" si="36"/>
        <v>-127371.70742423586</v>
      </c>
      <c r="I326" s="77">
        <f t="shared" si="37"/>
        <v>-11151034.498693038</v>
      </c>
    </row>
    <row r="327" spans="1:9" ht="13.8">
      <c r="A327" s="81">
        <f>IF(Values_Entered,A326+1,"")</f>
        <v>310</v>
      </c>
      <c r="B327" s="78">
        <f t="shared" si="38"/>
        <v>54044</v>
      </c>
      <c r="C327" s="80">
        <f t="shared" si="39"/>
        <v>-11151034.498693038</v>
      </c>
      <c r="D327" s="77">
        <f t="shared" si="32"/>
        <v>106087.86919144379</v>
      </c>
      <c r="E327" s="74">
        <f t="shared" si="33"/>
        <v>0</v>
      </c>
      <c r="F327" s="77">
        <f t="shared" si="34"/>
        <v>106087.86919144379</v>
      </c>
      <c r="G327" s="77">
        <f t="shared" si="35"/>
        <v>236183.2716761959</v>
      </c>
      <c r="H327" s="77">
        <f t="shared" si="36"/>
        <v>-130095.40248475212</v>
      </c>
      <c r="I327" s="77">
        <f t="shared" si="37"/>
        <v>-11387217.770369234</v>
      </c>
    </row>
    <row r="328" spans="1:9" ht="13.8">
      <c r="A328" s="81">
        <f>IF(Values_Entered,A327+1,"")</f>
        <v>311</v>
      </c>
      <c r="B328" s="78">
        <f t="shared" si="38"/>
        <v>54075</v>
      </c>
      <c r="C328" s="80">
        <f t="shared" si="39"/>
        <v>-11387217.770369234</v>
      </c>
      <c r="D328" s="77">
        <f t="shared" si="32"/>
        <v>106087.86919144379</v>
      </c>
      <c r="E328" s="74">
        <f t="shared" si="33"/>
        <v>0</v>
      </c>
      <c r="F328" s="77">
        <f t="shared" si="34"/>
        <v>106087.86919144379</v>
      </c>
      <c r="G328" s="77">
        <f t="shared" si="35"/>
        <v>238938.74317908485</v>
      </c>
      <c r="H328" s="77">
        <f t="shared" si="36"/>
        <v>-132850.87398764107</v>
      </c>
      <c r="I328" s="77">
        <f t="shared" si="37"/>
        <v>-11626156.513548318</v>
      </c>
    </row>
    <row r="329" spans="1:9" ht="13.8">
      <c r="A329" s="81">
        <f>IF(Values_Entered,A328+1,"")</f>
        <v>312</v>
      </c>
      <c r="B329" s="78">
        <f t="shared" si="38"/>
        <v>54106</v>
      </c>
      <c r="C329" s="80">
        <f t="shared" si="39"/>
        <v>-11626156.513548318</v>
      </c>
      <c r="D329" s="77">
        <f t="shared" si="32"/>
        <v>106087.86919144379</v>
      </c>
      <c r="E329" s="74">
        <f t="shared" si="33"/>
        <v>0</v>
      </c>
      <c r="F329" s="77">
        <f t="shared" si="34"/>
        <v>106087.86919144379</v>
      </c>
      <c r="G329" s="77">
        <f t="shared" si="35"/>
        <v>241726.36184950755</v>
      </c>
      <c r="H329" s="77">
        <f t="shared" si="36"/>
        <v>-135638.49265806374</v>
      </c>
      <c r="I329" s="77">
        <f t="shared" si="37"/>
        <v>-11867882.875397826</v>
      </c>
    </row>
    <row r="330" spans="1:9" ht="13.8">
      <c r="A330" s="81">
        <f>IF(Values_Entered,A329+1,"")</f>
        <v>313</v>
      </c>
      <c r="B330" s="78">
        <f t="shared" si="38"/>
        <v>54135</v>
      </c>
      <c r="C330" s="80">
        <f t="shared" si="39"/>
        <v>-11867882.875397826</v>
      </c>
      <c r="D330" s="77">
        <f t="shared" si="32"/>
        <v>106087.86919144379</v>
      </c>
      <c r="E330" s="74">
        <f t="shared" si="33"/>
        <v>0</v>
      </c>
      <c r="F330" s="77">
        <f t="shared" si="34"/>
        <v>106087.86919144379</v>
      </c>
      <c r="G330" s="77">
        <f t="shared" si="35"/>
        <v>244546.50273775175</v>
      </c>
      <c r="H330" s="77">
        <f t="shared" si="36"/>
        <v>-138458.63354630797</v>
      </c>
      <c r="I330" s="77">
        <f t="shared" si="37"/>
        <v>-12112429.378135577</v>
      </c>
    </row>
    <row r="331" spans="1:9" ht="13.8">
      <c r="A331" s="81">
        <f>IF(Values_Entered,A330+1,"")</f>
        <v>314</v>
      </c>
      <c r="B331" s="78">
        <f t="shared" si="38"/>
        <v>54166</v>
      </c>
      <c r="C331" s="80">
        <f t="shared" si="39"/>
        <v>-12112429.378135577</v>
      </c>
      <c r="D331" s="77">
        <f t="shared" si="32"/>
        <v>106087.86919144379</v>
      </c>
      <c r="E331" s="74">
        <f t="shared" si="33"/>
        <v>0</v>
      </c>
      <c r="F331" s="77">
        <f t="shared" si="34"/>
        <v>106087.86919144379</v>
      </c>
      <c r="G331" s="77">
        <f t="shared" si="35"/>
        <v>247399.5452696922</v>
      </c>
      <c r="H331" s="77">
        <f t="shared" si="36"/>
        <v>-141311.67607824839</v>
      </c>
      <c r="I331" s="77">
        <f t="shared" si="37"/>
        <v>-12359828.923405269</v>
      </c>
    </row>
    <row r="332" spans="1:9" ht="13.8">
      <c r="A332" s="81">
        <f>IF(Values_Entered,A331+1,"")</f>
        <v>315</v>
      </c>
      <c r="B332" s="78">
        <f t="shared" si="38"/>
        <v>54196</v>
      </c>
      <c r="C332" s="80">
        <f t="shared" si="39"/>
        <v>-12359828.923405269</v>
      </c>
      <c r="D332" s="77">
        <f t="shared" si="32"/>
        <v>106087.86919144379</v>
      </c>
      <c r="E332" s="74">
        <f t="shared" si="33"/>
        <v>0</v>
      </c>
      <c r="F332" s="77">
        <f t="shared" si="34"/>
        <v>106087.86919144379</v>
      </c>
      <c r="G332" s="77">
        <f t="shared" si="35"/>
        <v>250285.87329783861</v>
      </c>
      <c r="H332" s="77">
        <f t="shared" si="36"/>
        <v>-144198.00410639483</v>
      </c>
      <c r="I332" s="77">
        <f t="shared" si="37"/>
        <v>-12610114.796703108</v>
      </c>
    </row>
    <row r="333" spans="1:9" ht="13.8">
      <c r="A333" s="81">
        <f>IF(Values_Entered,A332+1,"")</f>
        <v>316</v>
      </c>
      <c r="B333" s="78">
        <f t="shared" si="38"/>
        <v>54227</v>
      </c>
      <c r="C333" s="80">
        <f t="shared" si="39"/>
        <v>-12610114.796703108</v>
      </c>
      <c r="D333" s="77">
        <f t="shared" si="32"/>
        <v>106087.86919144379</v>
      </c>
      <c r="E333" s="74">
        <f t="shared" si="33"/>
        <v>0</v>
      </c>
      <c r="F333" s="77">
        <f t="shared" si="34"/>
        <v>106087.86919144379</v>
      </c>
      <c r="G333" s="77">
        <f t="shared" si="35"/>
        <v>253205.87515298009</v>
      </c>
      <c r="H333" s="77">
        <f t="shared" si="36"/>
        <v>-147118.00596153628</v>
      </c>
      <c r="I333" s="77">
        <f t="shared" si="37"/>
        <v>-12863320.671856089</v>
      </c>
    </row>
    <row r="334" spans="1:9" ht="13.8">
      <c r="A334" s="81">
        <f>IF(Values_Entered,A333+1,"")</f>
        <v>317</v>
      </c>
      <c r="B334" s="78">
        <f t="shared" si="38"/>
        <v>54257</v>
      </c>
      <c r="C334" s="80">
        <f t="shared" si="39"/>
        <v>-12863320.671856089</v>
      </c>
      <c r="D334" s="77">
        <f t="shared" si="32"/>
        <v>106087.86919144379</v>
      </c>
      <c r="E334" s="74">
        <f t="shared" si="33"/>
        <v>0</v>
      </c>
      <c r="F334" s="77">
        <f t="shared" si="34"/>
        <v>106087.86919144379</v>
      </c>
      <c r="G334" s="77">
        <f t="shared" si="35"/>
        <v>256159.94369643152</v>
      </c>
      <c r="H334" s="77">
        <f t="shared" si="36"/>
        <v>-150072.07450498772</v>
      </c>
      <c r="I334" s="77">
        <f t="shared" si="37"/>
        <v>-13119480.61555252</v>
      </c>
    </row>
    <row r="335" spans="1:9" ht="13.8">
      <c r="A335" s="81">
        <f>IF(Values_Entered,A334+1,"")</f>
        <v>318</v>
      </c>
      <c r="B335" s="78">
        <f t="shared" si="38"/>
        <v>54288</v>
      </c>
      <c r="C335" s="80">
        <f t="shared" si="39"/>
        <v>-13119480.61555252</v>
      </c>
      <c r="D335" s="77">
        <f t="shared" si="32"/>
        <v>106087.86919144379</v>
      </c>
      <c r="E335" s="74">
        <f t="shared" si="33"/>
        <v>0</v>
      </c>
      <c r="F335" s="77">
        <f t="shared" si="34"/>
        <v>106087.86919144379</v>
      </c>
      <c r="G335" s="77">
        <f t="shared" si="35"/>
        <v>259148.47637288988</v>
      </c>
      <c r="H335" s="77">
        <f t="shared" si="36"/>
        <v>-153060.60718144607</v>
      </c>
      <c r="I335" s="77">
        <f t="shared" si="37"/>
        <v>-13378629.091925411</v>
      </c>
    </row>
    <row r="336" spans="1:9" ht="13.8">
      <c r="A336" s="81">
        <f>IF(Values_Entered,A335+1,"")</f>
        <v>319</v>
      </c>
      <c r="B336" s="78">
        <f t="shared" si="38"/>
        <v>54319</v>
      </c>
      <c r="C336" s="80">
        <f t="shared" si="39"/>
        <v>-13378629.091925411</v>
      </c>
      <c r="D336" s="77">
        <f t="shared" si="32"/>
        <v>106087.86919144379</v>
      </c>
      <c r="E336" s="74">
        <f t="shared" si="33"/>
        <v>0</v>
      </c>
      <c r="F336" s="77">
        <f t="shared" si="34"/>
        <v>106087.86919144379</v>
      </c>
      <c r="G336" s="77">
        <f t="shared" si="35"/>
        <v>262171.87526390696</v>
      </c>
      <c r="H336" s="77">
        <f t="shared" si="36"/>
        <v>-156084.00607246315</v>
      </c>
      <c r="I336" s="77">
        <f t="shared" si="37"/>
        <v>-13640800.967189318</v>
      </c>
    </row>
    <row r="337" spans="1:9" ht="13.8">
      <c r="A337" s="81">
        <f>IF(Values_Entered,A336+1,"")</f>
        <v>320</v>
      </c>
      <c r="B337" s="78">
        <f t="shared" si="38"/>
        <v>54349</v>
      </c>
      <c r="C337" s="80">
        <f t="shared" si="39"/>
        <v>-13640800.967189318</v>
      </c>
      <c r="D337" s="77">
        <f t="shared" si="32"/>
        <v>106087.86919144379</v>
      </c>
      <c r="E337" s="74">
        <f t="shared" si="33"/>
        <v>0</v>
      </c>
      <c r="F337" s="77">
        <f t="shared" si="34"/>
        <v>106087.86919144379</v>
      </c>
      <c r="G337" s="77">
        <f t="shared" si="35"/>
        <v>265230.54714198585</v>
      </c>
      <c r="H337" s="77">
        <f t="shared" si="36"/>
        <v>-159142.67795054204</v>
      </c>
      <c r="I337" s="77">
        <f t="shared" si="37"/>
        <v>-13906031.514331304</v>
      </c>
    </row>
    <row r="338" spans="1:9" ht="13.8">
      <c r="A338" s="81">
        <f>IF(Values_Entered,A337+1,"")</f>
        <v>321</v>
      </c>
      <c r="B338" s="78">
        <f t="shared" si="38"/>
        <v>54380</v>
      </c>
      <c r="C338" s="80">
        <f t="shared" si="39"/>
        <v>-13906031.514331304</v>
      </c>
      <c r="D338" s="77">
        <f t="shared" ref="D338:D377" si="40">IF(Pay_Num&lt;&gt;"",Scheduled_Monthly_Payment,"")</f>
        <v>106087.86919144379</v>
      </c>
      <c r="E338" s="74">
        <f t="shared" ref="E338:E377" si="41">IF(Pay_Num&lt;&gt;"",Scheduled_Extra_Payments,"")</f>
        <v>0</v>
      </c>
      <c r="F338" s="77">
        <f t="shared" ref="F338:F377" si="42">IF(Pay_Num&lt;&gt;"",Sched_Pay+Extra_Pay,"")</f>
        <v>106087.86919144379</v>
      </c>
      <c r="G338" s="77">
        <f t="shared" ref="G338:G377" si="43">IF(Pay_Num&lt;&gt;"",Total_Pay-Int,"")</f>
        <v>268324.903525309</v>
      </c>
      <c r="H338" s="77">
        <f t="shared" ref="H338:H377" si="44">IF(Pay_Num&lt;&gt;"",Beg_Bal*Interest_Rate/12,"")</f>
        <v>-162237.03433386522</v>
      </c>
      <c r="I338" s="77">
        <f t="shared" ref="I338:I377" si="45">IF(Pay_Num&lt;&gt;"",Beg_Bal-Princ,"")</f>
        <v>-14174356.417856613</v>
      </c>
    </row>
    <row r="339" spans="1:9" ht="13.8">
      <c r="A339" s="81">
        <f>IF(Values_Entered,A338+1,"")</f>
        <v>322</v>
      </c>
      <c r="B339" s="78">
        <f t="shared" ref="B339:B377" si="46">IF(Pay_Num&lt;&gt;"",DATE(YEAR(B338),MONTH(B338)+1,DAY(B338)),"")</f>
        <v>54410</v>
      </c>
      <c r="C339" s="80">
        <f t="shared" ref="C339:C377" si="47">IF(Pay_Num&lt;&gt;"",I338,"")</f>
        <v>-14174356.417856613</v>
      </c>
      <c r="D339" s="77">
        <f t="shared" si="40"/>
        <v>106087.86919144379</v>
      </c>
      <c r="E339" s="74">
        <f t="shared" si="41"/>
        <v>0</v>
      </c>
      <c r="F339" s="77">
        <f t="shared" si="42"/>
        <v>106087.86919144379</v>
      </c>
      <c r="G339" s="77">
        <f t="shared" si="43"/>
        <v>271455.36073310429</v>
      </c>
      <c r="H339" s="77">
        <f t="shared" si="44"/>
        <v>-165367.49154166051</v>
      </c>
      <c r="I339" s="77">
        <f t="shared" si="45"/>
        <v>-14445811.778589718</v>
      </c>
    </row>
    <row r="340" spans="1:9" ht="13.8">
      <c r="A340" s="81">
        <f>IF(Values_Entered,A339+1,"")</f>
        <v>323</v>
      </c>
      <c r="B340" s="78">
        <f t="shared" si="46"/>
        <v>54441</v>
      </c>
      <c r="C340" s="80">
        <f t="shared" si="47"/>
        <v>-14445811.778589718</v>
      </c>
      <c r="D340" s="77">
        <f t="shared" si="40"/>
        <v>106087.86919144379</v>
      </c>
      <c r="E340" s="74">
        <f t="shared" si="41"/>
        <v>0</v>
      </c>
      <c r="F340" s="77">
        <f t="shared" si="42"/>
        <v>106087.86919144379</v>
      </c>
      <c r="G340" s="77">
        <f t="shared" si="43"/>
        <v>274622.33994165721</v>
      </c>
      <c r="H340" s="77">
        <f t="shared" si="44"/>
        <v>-168534.4707502134</v>
      </c>
      <c r="I340" s="77">
        <f t="shared" si="45"/>
        <v>-14720434.118531376</v>
      </c>
    </row>
    <row r="341" spans="1:9" ht="13.8">
      <c r="A341" s="81">
        <f>IF(Values_Entered,A340+1,"")</f>
        <v>324</v>
      </c>
      <c r="B341" s="78">
        <f t="shared" si="46"/>
        <v>54472</v>
      </c>
      <c r="C341" s="80">
        <f t="shared" si="47"/>
        <v>-14720434.118531376</v>
      </c>
      <c r="D341" s="77">
        <f t="shared" si="40"/>
        <v>106087.86919144379</v>
      </c>
      <c r="E341" s="74">
        <f t="shared" si="41"/>
        <v>0</v>
      </c>
      <c r="F341" s="77">
        <f t="shared" si="42"/>
        <v>106087.86919144379</v>
      </c>
      <c r="G341" s="77">
        <f t="shared" si="43"/>
        <v>277826.26724097657</v>
      </c>
      <c r="H341" s="77">
        <f t="shared" si="44"/>
        <v>-171738.39804953276</v>
      </c>
      <c r="I341" s="77">
        <f t="shared" si="45"/>
        <v>-14998260.385772353</v>
      </c>
    </row>
    <row r="342" spans="1:9" ht="13.8">
      <c r="A342" s="81">
        <f>IF(Values_Entered,A341+1,"")</f>
        <v>325</v>
      </c>
      <c r="B342" s="78">
        <f t="shared" si="46"/>
        <v>54500</v>
      </c>
      <c r="C342" s="80">
        <f t="shared" si="47"/>
        <v>-14998260.385772353</v>
      </c>
      <c r="D342" s="77">
        <f t="shared" si="40"/>
        <v>106087.86919144379</v>
      </c>
      <c r="E342" s="74">
        <f t="shared" si="41"/>
        <v>0</v>
      </c>
      <c r="F342" s="77">
        <f t="shared" si="42"/>
        <v>106087.86919144379</v>
      </c>
      <c r="G342" s="77">
        <f t="shared" si="43"/>
        <v>281067.57369212125</v>
      </c>
      <c r="H342" s="77">
        <f t="shared" si="44"/>
        <v>-174979.70450067744</v>
      </c>
      <c r="I342" s="77">
        <f t="shared" si="45"/>
        <v>-15279327.959464474</v>
      </c>
    </row>
    <row r="343" spans="1:9" ht="13.8">
      <c r="A343" s="81">
        <f>IF(Values_Entered,A342+1,"")</f>
        <v>326</v>
      </c>
      <c r="B343" s="78">
        <f t="shared" si="46"/>
        <v>54531</v>
      </c>
      <c r="C343" s="80">
        <f t="shared" si="47"/>
        <v>-15279327.959464474</v>
      </c>
      <c r="D343" s="77">
        <f t="shared" si="40"/>
        <v>106087.86919144379</v>
      </c>
      <c r="E343" s="74">
        <f t="shared" si="41"/>
        <v>0</v>
      </c>
      <c r="F343" s="77">
        <f t="shared" si="42"/>
        <v>106087.86919144379</v>
      </c>
      <c r="G343" s="77">
        <f t="shared" si="43"/>
        <v>284346.69538519601</v>
      </c>
      <c r="H343" s="77">
        <f t="shared" si="44"/>
        <v>-178258.8261937522</v>
      </c>
      <c r="I343" s="77">
        <f t="shared" si="45"/>
        <v>-15563674.654849669</v>
      </c>
    </row>
    <row r="344" spans="1:9" ht="13.8">
      <c r="A344" s="81">
        <f>IF(Values_Entered,A343+1,"")</f>
        <v>327</v>
      </c>
      <c r="B344" s="78">
        <f t="shared" si="46"/>
        <v>54561</v>
      </c>
      <c r="C344" s="80">
        <f t="shared" si="47"/>
        <v>-15563674.654849669</v>
      </c>
      <c r="D344" s="77">
        <f t="shared" si="40"/>
        <v>106087.86919144379</v>
      </c>
      <c r="E344" s="74">
        <f t="shared" si="41"/>
        <v>0</v>
      </c>
      <c r="F344" s="77">
        <f t="shared" si="42"/>
        <v>106087.86919144379</v>
      </c>
      <c r="G344" s="77">
        <f t="shared" si="43"/>
        <v>287664.07349802332</v>
      </c>
      <c r="H344" s="77">
        <f t="shared" si="44"/>
        <v>-181576.20430657952</v>
      </c>
      <c r="I344" s="77">
        <f t="shared" si="45"/>
        <v>-15851338.728347693</v>
      </c>
    </row>
    <row r="345" spans="1:9" ht="13.8">
      <c r="A345" s="81">
        <f>IF(Values_Entered,A344+1,"")</f>
        <v>328</v>
      </c>
      <c r="B345" s="78">
        <f t="shared" si="46"/>
        <v>54592</v>
      </c>
      <c r="C345" s="80">
        <f t="shared" si="47"/>
        <v>-15851338.728347693</v>
      </c>
      <c r="D345" s="77">
        <f t="shared" si="40"/>
        <v>106087.86919144379</v>
      </c>
      <c r="E345" s="74">
        <f t="shared" si="41"/>
        <v>0</v>
      </c>
      <c r="F345" s="77">
        <f t="shared" si="42"/>
        <v>106087.86919144379</v>
      </c>
      <c r="G345" s="77">
        <f t="shared" si="43"/>
        <v>291020.15435550024</v>
      </c>
      <c r="H345" s="77">
        <f t="shared" si="44"/>
        <v>-184932.28516405643</v>
      </c>
      <c r="I345" s="77">
        <f t="shared" si="45"/>
        <v>-16142358.882703193</v>
      </c>
    </row>
    <row r="346" spans="1:9" ht="13.8">
      <c r="A346" s="81">
        <f>IF(Values_Entered,A345+1,"")</f>
        <v>329</v>
      </c>
      <c r="B346" s="78">
        <f t="shared" si="46"/>
        <v>54622</v>
      </c>
      <c r="C346" s="80">
        <f t="shared" si="47"/>
        <v>-16142358.882703193</v>
      </c>
      <c r="D346" s="77">
        <f t="shared" si="40"/>
        <v>106087.86919144379</v>
      </c>
      <c r="E346" s="74">
        <f t="shared" si="41"/>
        <v>0</v>
      </c>
      <c r="F346" s="77">
        <f t="shared" si="42"/>
        <v>106087.86919144379</v>
      </c>
      <c r="G346" s="77">
        <f t="shared" si="43"/>
        <v>294415.3894896477</v>
      </c>
      <c r="H346" s="77">
        <f t="shared" si="44"/>
        <v>-188327.52029820392</v>
      </c>
      <c r="I346" s="77">
        <f t="shared" si="45"/>
        <v>-16436774.27219284</v>
      </c>
    </row>
    <row r="347" spans="1:9" ht="13.8">
      <c r="A347" s="81">
        <f>IF(Values_Entered,A346+1,"")</f>
        <v>330</v>
      </c>
      <c r="B347" s="78">
        <f t="shared" si="46"/>
        <v>54653</v>
      </c>
      <c r="C347" s="80">
        <f t="shared" si="47"/>
        <v>-16436774.27219284</v>
      </c>
      <c r="D347" s="77">
        <f t="shared" si="40"/>
        <v>106087.86919144379</v>
      </c>
      <c r="E347" s="74">
        <f t="shared" si="41"/>
        <v>0</v>
      </c>
      <c r="F347" s="77">
        <f t="shared" si="42"/>
        <v>106087.86919144379</v>
      </c>
      <c r="G347" s="77">
        <f t="shared" si="43"/>
        <v>297850.23570036027</v>
      </c>
      <c r="H347" s="77">
        <f t="shared" si="44"/>
        <v>-191762.36650891649</v>
      </c>
      <c r="I347" s="77">
        <f t="shared" si="45"/>
        <v>-16734624.507893199</v>
      </c>
    </row>
    <row r="348" spans="1:9" ht="13.8">
      <c r="A348" s="81">
        <f>IF(Values_Entered,A347+1,"")</f>
        <v>331</v>
      </c>
      <c r="B348" s="78">
        <f t="shared" si="46"/>
        <v>54684</v>
      </c>
      <c r="C348" s="80">
        <f t="shared" si="47"/>
        <v>-16734624.507893199</v>
      </c>
      <c r="D348" s="77">
        <f t="shared" si="40"/>
        <v>106087.86919144379</v>
      </c>
      <c r="E348" s="74">
        <f t="shared" si="41"/>
        <v>0</v>
      </c>
      <c r="F348" s="77">
        <f t="shared" si="42"/>
        <v>106087.86919144379</v>
      </c>
      <c r="G348" s="77">
        <f t="shared" si="43"/>
        <v>301325.15511686448</v>
      </c>
      <c r="H348" s="77">
        <f t="shared" si="44"/>
        <v>-195237.28592542067</v>
      </c>
      <c r="I348" s="77">
        <f t="shared" si="45"/>
        <v>-17035949.663010065</v>
      </c>
    </row>
    <row r="349" spans="1:9" ht="13.8">
      <c r="A349" s="81">
        <f>IF(Values_Entered,A348+1,"")</f>
        <v>332</v>
      </c>
      <c r="B349" s="78">
        <f t="shared" si="46"/>
        <v>54714</v>
      </c>
      <c r="C349" s="80">
        <f t="shared" si="47"/>
        <v>-17035949.663010065</v>
      </c>
      <c r="D349" s="77">
        <f t="shared" si="40"/>
        <v>106087.86919144379</v>
      </c>
      <c r="E349" s="74">
        <f t="shared" si="41"/>
        <v>0</v>
      </c>
      <c r="F349" s="77">
        <f t="shared" si="42"/>
        <v>106087.86919144379</v>
      </c>
      <c r="G349" s="77">
        <f t="shared" si="43"/>
        <v>304840.61525989458</v>
      </c>
      <c r="H349" s="77">
        <f t="shared" si="44"/>
        <v>-198752.74606845077</v>
      </c>
      <c r="I349" s="77">
        <f t="shared" si="45"/>
        <v>-17340790.278269958</v>
      </c>
    </row>
    <row r="350" spans="1:9" ht="13.8">
      <c r="A350" s="81">
        <f>IF(Values_Entered,A349+1,"")</f>
        <v>333</v>
      </c>
      <c r="B350" s="78">
        <f t="shared" si="46"/>
        <v>54745</v>
      </c>
      <c r="C350" s="80">
        <f t="shared" si="47"/>
        <v>-17340790.278269958</v>
      </c>
      <c r="D350" s="77">
        <f t="shared" si="40"/>
        <v>106087.86919144379</v>
      </c>
      <c r="E350" s="74">
        <f t="shared" si="41"/>
        <v>0</v>
      </c>
      <c r="F350" s="77">
        <f t="shared" si="42"/>
        <v>106087.86919144379</v>
      </c>
      <c r="G350" s="77">
        <f t="shared" si="43"/>
        <v>308397.08910459332</v>
      </c>
      <c r="H350" s="77">
        <f t="shared" si="44"/>
        <v>-202309.21991314951</v>
      </c>
      <c r="I350" s="77">
        <f t="shared" si="45"/>
        <v>-17649187.367374551</v>
      </c>
    </row>
    <row r="351" spans="1:9" ht="13.8">
      <c r="A351" s="81">
        <f>IF(Values_Entered,A350+1,"")</f>
        <v>334</v>
      </c>
      <c r="B351" s="78">
        <f t="shared" si="46"/>
        <v>54775</v>
      </c>
      <c r="C351" s="80">
        <f t="shared" si="47"/>
        <v>-17649187.367374551</v>
      </c>
      <c r="D351" s="77">
        <f t="shared" si="40"/>
        <v>106087.86919144379</v>
      </c>
      <c r="E351" s="74">
        <f t="shared" si="41"/>
        <v>0</v>
      </c>
      <c r="F351" s="77">
        <f t="shared" si="42"/>
        <v>106087.86919144379</v>
      </c>
      <c r="G351" s="77">
        <f t="shared" si="43"/>
        <v>311995.0551441469</v>
      </c>
      <c r="H351" s="77">
        <f t="shared" si="44"/>
        <v>-205907.18595270312</v>
      </c>
      <c r="I351" s="77">
        <f t="shared" si="45"/>
        <v>-17961182.422518697</v>
      </c>
    </row>
    <row r="352" spans="1:9" ht="13.8">
      <c r="A352" s="81">
        <f>IF(Values_Entered,A351+1,"")</f>
        <v>335</v>
      </c>
      <c r="B352" s="78">
        <f t="shared" si="46"/>
        <v>54806</v>
      </c>
      <c r="C352" s="80">
        <f t="shared" si="47"/>
        <v>-17961182.422518697</v>
      </c>
      <c r="D352" s="77">
        <f t="shared" si="40"/>
        <v>106087.86919144379</v>
      </c>
      <c r="E352" s="74">
        <f t="shared" si="41"/>
        <v>0</v>
      </c>
      <c r="F352" s="77">
        <f t="shared" si="42"/>
        <v>106087.86919144379</v>
      </c>
      <c r="G352" s="77">
        <f t="shared" si="43"/>
        <v>315634.99745416193</v>
      </c>
      <c r="H352" s="77">
        <f t="shared" si="44"/>
        <v>-209547.12826271812</v>
      </c>
      <c r="I352" s="77">
        <f t="shared" si="45"/>
        <v>-18276817.419972859</v>
      </c>
    </row>
    <row r="353" spans="1:9" ht="13.8">
      <c r="A353" s="81">
        <f>IF(Values_Entered,A352+1,"")</f>
        <v>336</v>
      </c>
      <c r="B353" s="78">
        <f t="shared" si="46"/>
        <v>54837</v>
      </c>
      <c r="C353" s="80">
        <f t="shared" si="47"/>
        <v>-18276817.419972859</v>
      </c>
      <c r="D353" s="77">
        <f t="shared" si="40"/>
        <v>106087.86919144379</v>
      </c>
      <c r="E353" s="74">
        <f t="shared" si="41"/>
        <v>0</v>
      </c>
      <c r="F353" s="77">
        <f t="shared" si="42"/>
        <v>106087.86919144379</v>
      </c>
      <c r="G353" s="77">
        <f t="shared" si="43"/>
        <v>319317.40575779381</v>
      </c>
      <c r="H353" s="77">
        <f t="shared" si="44"/>
        <v>-213229.53656635003</v>
      </c>
      <c r="I353" s="77">
        <f t="shared" si="45"/>
        <v>-18596134.825730652</v>
      </c>
    </row>
    <row r="354" spans="1:9" ht="13.8">
      <c r="A354" s="81">
        <f>IF(Values_Entered,A353+1,"")</f>
        <v>337</v>
      </c>
      <c r="B354" s="78">
        <f t="shared" si="46"/>
        <v>54865</v>
      </c>
      <c r="C354" s="80">
        <f t="shared" si="47"/>
        <v>-18596134.825730652</v>
      </c>
      <c r="D354" s="77">
        <f t="shared" si="40"/>
        <v>106087.86919144379</v>
      </c>
      <c r="E354" s="74">
        <f t="shared" si="41"/>
        <v>0</v>
      </c>
      <c r="F354" s="77">
        <f t="shared" si="42"/>
        <v>106087.86919144379</v>
      </c>
      <c r="G354" s="77">
        <f t="shared" si="43"/>
        <v>323042.77549163473</v>
      </c>
      <c r="H354" s="77">
        <f t="shared" si="44"/>
        <v>-216954.90630019095</v>
      </c>
      <c r="I354" s="77">
        <f t="shared" si="45"/>
        <v>-18919177.601222288</v>
      </c>
    </row>
    <row r="355" spans="1:9" ht="13.8">
      <c r="A355" s="81">
        <f>IF(Values_Entered,A354+1,"")</f>
        <v>338</v>
      </c>
      <c r="B355" s="78">
        <f t="shared" si="46"/>
        <v>54896</v>
      </c>
      <c r="C355" s="80">
        <f t="shared" si="47"/>
        <v>-18919177.601222288</v>
      </c>
      <c r="D355" s="77">
        <f t="shared" si="40"/>
        <v>106087.86919144379</v>
      </c>
      <c r="E355" s="74">
        <f t="shared" si="41"/>
        <v>0</v>
      </c>
      <c r="F355" s="77">
        <f t="shared" si="42"/>
        <v>106087.86919144379</v>
      </c>
      <c r="G355" s="77">
        <f t="shared" si="43"/>
        <v>326811.60787237051</v>
      </c>
      <c r="H355" s="77">
        <f t="shared" si="44"/>
        <v>-220723.7386809267</v>
      </c>
      <c r="I355" s="77">
        <f t="shared" si="45"/>
        <v>-19245989.209094658</v>
      </c>
    </row>
    <row r="356" spans="1:9" ht="13.8">
      <c r="A356" s="81">
        <f>IF(Values_Entered,A355+1,"")</f>
        <v>339</v>
      </c>
      <c r="B356" s="78">
        <f t="shared" si="46"/>
        <v>54926</v>
      </c>
      <c r="C356" s="80">
        <f t="shared" si="47"/>
        <v>-19245989.209094658</v>
      </c>
      <c r="D356" s="77">
        <f t="shared" si="40"/>
        <v>106087.86919144379</v>
      </c>
      <c r="E356" s="74">
        <f t="shared" si="41"/>
        <v>0</v>
      </c>
      <c r="F356" s="77">
        <f t="shared" si="42"/>
        <v>106087.86919144379</v>
      </c>
      <c r="G356" s="77">
        <f t="shared" si="43"/>
        <v>330624.40996421484</v>
      </c>
      <c r="H356" s="77">
        <f t="shared" si="44"/>
        <v>-224536.54077277103</v>
      </c>
      <c r="I356" s="77">
        <f t="shared" si="45"/>
        <v>-19576613.619058874</v>
      </c>
    </row>
    <row r="357" spans="1:9" ht="13.8">
      <c r="A357" s="81">
        <f>IF(Values_Entered,A356+1,"")</f>
        <v>340</v>
      </c>
      <c r="B357" s="78">
        <f t="shared" si="46"/>
        <v>54957</v>
      </c>
      <c r="C357" s="80">
        <f t="shared" si="47"/>
        <v>-19576613.619058874</v>
      </c>
      <c r="D357" s="77">
        <f t="shared" si="40"/>
        <v>106087.86919144379</v>
      </c>
      <c r="E357" s="74">
        <f t="shared" si="41"/>
        <v>0</v>
      </c>
      <c r="F357" s="77">
        <f t="shared" si="42"/>
        <v>106087.86919144379</v>
      </c>
      <c r="G357" s="77">
        <f t="shared" si="43"/>
        <v>334481.69474713068</v>
      </c>
      <c r="H357" s="77">
        <f t="shared" si="44"/>
        <v>-228393.82555568687</v>
      </c>
      <c r="I357" s="77">
        <f t="shared" si="45"/>
        <v>-19911095.313806005</v>
      </c>
    </row>
    <row r="358" spans="1:9" ht="13.8">
      <c r="A358" s="81">
        <f>IF(Values_Entered,A357+1,"")</f>
        <v>341</v>
      </c>
      <c r="B358" s="78">
        <f t="shared" si="46"/>
        <v>54987</v>
      </c>
      <c r="C358" s="80">
        <f t="shared" si="47"/>
        <v>-19911095.313806005</v>
      </c>
      <c r="D358" s="77">
        <f t="shared" si="40"/>
        <v>106087.86919144379</v>
      </c>
      <c r="E358" s="74">
        <f t="shared" si="41"/>
        <v>0</v>
      </c>
      <c r="F358" s="77">
        <f t="shared" si="42"/>
        <v>106087.86919144379</v>
      </c>
      <c r="G358" s="77">
        <f t="shared" si="43"/>
        <v>338383.98118584719</v>
      </c>
      <c r="H358" s="77">
        <f t="shared" si="44"/>
        <v>-232296.11199440341</v>
      </c>
      <c r="I358" s="77">
        <f t="shared" si="45"/>
        <v>-20249479.294991851</v>
      </c>
    </row>
    <row r="359" spans="1:9" ht="13.8">
      <c r="A359" s="81">
        <f>IF(Values_Entered,A358+1,"")</f>
        <v>342</v>
      </c>
      <c r="B359" s="78">
        <f t="shared" si="46"/>
        <v>55018</v>
      </c>
      <c r="C359" s="80">
        <f t="shared" si="47"/>
        <v>-20249479.294991851</v>
      </c>
      <c r="D359" s="77">
        <f t="shared" si="40"/>
        <v>106087.86919144379</v>
      </c>
      <c r="E359" s="74">
        <f t="shared" si="41"/>
        <v>0</v>
      </c>
      <c r="F359" s="77">
        <f t="shared" si="42"/>
        <v>106087.86919144379</v>
      </c>
      <c r="G359" s="77">
        <f t="shared" si="43"/>
        <v>342331.79429968208</v>
      </c>
      <c r="H359" s="77">
        <f t="shared" si="44"/>
        <v>-236243.92510823827</v>
      </c>
      <c r="I359" s="77">
        <f t="shared" si="45"/>
        <v>-20591811.089291532</v>
      </c>
    </row>
    <row r="360" spans="1:9" ht="13.8">
      <c r="A360" s="81">
        <f>IF(Values_Entered,A359+1,"")</f>
        <v>343</v>
      </c>
      <c r="B360" s="78">
        <f t="shared" si="46"/>
        <v>55049</v>
      </c>
      <c r="C360" s="80">
        <f t="shared" si="47"/>
        <v>-20591811.089291532</v>
      </c>
      <c r="D360" s="77">
        <f t="shared" si="40"/>
        <v>106087.86919144379</v>
      </c>
      <c r="E360" s="74">
        <f t="shared" si="41"/>
        <v>0</v>
      </c>
      <c r="F360" s="77">
        <f t="shared" si="42"/>
        <v>106087.86919144379</v>
      </c>
      <c r="G360" s="77">
        <f t="shared" si="43"/>
        <v>346325.66523317836</v>
      </c>
      <c r="H360" s="77">
        <f t="shared" si="44"/>
        <v>-240237.79604173455</v>
      </c>
      <c r="I360" s="77">
        <f t="shared" si="45"/>
        <v>-20938136.754524712</v>
      </c>
    </row>
    <row r="361" spans="1:9" ht="13.8">
      <c r="A361" s="81">
        <f>IF(Values_Entered,A360+1,"")</f>
        <v>344</v>
      </c>
      <c r="B361" s="78">
        <f t="shared" si="46"/>
        <v>55079</v>
      </c>
      <c r="C361" s="80">
        <f t="shared" si="47"/>
        <v>-20938136.754524712</v>
      </c>
      <c r="D361" s="77">
        <f t="shared" si="40"/>
        <v>106087.86919144379</v>
      </c>
      <c r="E361" s="74">
        <f t="shared" si="41"/>
        <v>0</v>
      </c>
      <c r="F361" s="77">
        <f t="shared" si="42"/>
        <v>106087.86919144379</v>
      </c>
      <c r="G361" s="77">
        <f t="shared" si="43"/>
        <v>350366.13132756547</v>
      </c>
      <c r="H361" s="77">
        <f t="shared" si="44"/>
        <v>-244278.26213612166</v>
      </c>
      <c r="I361" s="77">
        <f t="shared" si="45"/>
        <v>-21288502.885852277</v>
      </c>
    </row>
    <row r="362" spans="1:9" ht="13.8">
      <c r="A362" s="81">
        <f>IF(Values_Entered,A361+1,"")</f>
        <v>345</v>
      </c>
      <c r="B362" s="78">
        <f t="shared" si="46"/>
        <v>55110</v>
      </c>
      <c r="C362" s="80">
        <f t="shared" si="47"/>
        <v>-21288502.885852277</v>
      </c>
      <c r="D362" s="77">
        <f t="shared" si="40"/>
        <v>106087.86919144379</v>
      </c>
      <c r="E362" s="74">
        <f t="shared" si="41"/>
        <v>0</v>
      </c>
      <c r="F362" s="77">
        <f t="shared" si="42"/>
        <v>106087.86919144379</v>
      </c>
      <c r="G362" s="77">
        <f t="shared" si="43"/>
        <v>354453.73619305372</v>
      </c>
      <c r="H362" s="77">
        <f t="shared" si="44"/>
        <v>-248365.86700160991</v>
      </c>
      <c r="I362" s="77">
        <f t="shared" si="45"/>
        <v>-21642956.622045331</v>
      </c>
    </row>
    <row r="363" spans="1:9" ht="13.8">
      <c r="A363" s="81">
        <f>IF(Values_Entered,A362+1,"")</f>
        <v>346</v>
      </c>
      <c r="B363" s="78">
        <f t="shared" si="46"/>
        <v>55140</v>
      </c>
      <c r="C363" s="80">
        <f t="shared" si="47"/>
        <v>-21642956.622045331</v>
      </c>
      <c r="D363" s="77">
        <f t="shared" si="40"/>
        <v>106087.86919144379</v>
      </c>
      <c r="E363" s="74">
        <f t="shared" si="41"/>
        <v>0</v>
      </c>
      <c r="F363" s="77">
        <f t="shared" si="42"/>
        <v>106087.86919144379</v>
      </c>
      <c r="G363" s="77">
        <f t="shared" si="43"/>
        <v>358589.0297819727</v>
      </c>
      <c r="H363" s="77">
        <f t="shared" si="44"/>
        <v>-252501.16059052889</v>
      </c>
      <c r="I363" s="77">
        <f t="shared" si="45"/>
        <v>-22001545.651827302</v>
      </c>
    </row>
    <row r="364" spans="1:9" ht="13.8">
      <c r="A364" s="81">
        <f>IF(Values_Entered,A363+1,"")</f>
        <v>347</v>
      </c>
      <c r="B364" s="78">
        <f t="shared" si="46"/>
        <v>55171</v>
      </c>
      <c r="C364" s="80">
        <f t="shared" si="47"/>
        <v>-22001545.651827302</v>
      </c>
      <c r="D364" s="77">
        <f t="shared" si="40"/>
        <v>106087.86919144379</v>
      </c>
      <c r="E364" s="74">
        <f t="shared" si="41"/>
        <v>0</v>
      </c>
      <c r="F364" s="77">
        <f t="shared" si="42"/>
        <v>106087.86919144379</v>
      </c>
      <c r="G364" s="77">
        <f t="shared" si="43"/>
        <v>362772.56846276234</v>
      </c>
      <c r="H364" s="77">
        <f t="shared" si="44"/>
        <v>-256684.69927131853</v>
      </c>
      <c r="I364" s="77">
        <f t="shared" si="45"/>
        <v>-22364318.220290065</v>
      </c>
    </row>
    <row r="365" spans="1:9" ht="13.8">
      <c r="A365" s="81">
        <f>IF(Values_Entered,A364+1,"")</f>
        <v>348</v>
      </c>
      <c r="B365" s="78">
        <f t="shared" si="46"/>
        <v>55202</v>
      </c>
      <c r="C365" s="80">
        <f t="shared" si="47"/>
        <v>-22364318.220290065</v>
      </c>
      <c r="D365" s="77">
        <f t="shared" si="40"/>
        <v>106087.86919144379</v>
      </c>
      <c r="E365" s="74">
        <f t="shared" si="41"/>
        <v>0</v>
      </c>
      <c r="F365" s="77">
        <f t="shared" si="42"/>
        <v>106087.86919144379</v>
      </c>
      <c r="G365" s="77">
        <f t="shared" si="43"/>
        <v>367004.91509482788</v>
      </c>
      <c r="H365" s="77">
        <f t="shared" si="44"/>
        <v>-260917.0459033841</v>
      </c>
      <c r="I365" s="77">
        <f t="shared" si="45"/>
        <v>-22731323.135384891</v>
      </c>
    </row>
    <row r="366" spans="1:9" ht="13.8">
      <c r="A366" s="81">
        <f>IF(Values_Entered,A365+1,"")</f>
        <v>349</v>
      </c>
      <c r="B366" s="78">
        <f t="shared" si="46"/>
        <v>55230</v>
      </c>
      <c r="C366" s="80">
        <f t="shared" si="47"/>
        <v>-22731323.135384891</v>
      </c>
      <c r="D366" s="77">
        <f t="shared" si="40"/>
        <v>106087.86919144379</v>
      </c>
      <c r="E366" s="74">
        <f t="shared" si="41"/>
        <v>0</v>
      </c>
      <c r="F366" s="77">
        <f t="shared" si="42"/>
        <v>106087.86919144379</v>
      </c>
      <c r="G366" s="77">
        <f t="shared" si="43"/>
        <v>371286.63910426752</v>
      </c>
      <c r="H366" s="77">
        <f t="shared" si="44"/>
        <v>-265198.76991282374</v>
      </c>
      <c r="I366" s="77">
        <f t="shared" si="45"/>
        <v>-23102609.774489157</v>
      </c>
    </row>
    <row r="367" spans="1:9" ht="13.8">
      <c r="A367" s="81">
        <f>IF(Values_Entered,A366+1,"")</f>
        <v>350</v>
      </c>
      <c r="B367" s="78">
        <f t="shared" si="46"/>
        <v>55261</v>
      </c>
      <c r="C367" s="80">
        <f t="shared" si="47"/>
        <v>-23102609.774489157</v>
      </c>
      <c r="D367" s="77">
        <f t="shared" si="40"/>
        <v>106087.86919144379</v>
      </c>
      <c r="E367" s="74">
        <f t="shared" si="41"/>
        <v>0</v>
      </c>
      <c r="F367" s="77">
        <f t="shared" si="42"/>
        <v>106087.86919144379</v>
      </c>
      <c r="G367" s="77">
        <f t="shared" si="43"/>
        <v>375618.31656048395</v>
      </c>
      <c r="H367" s="77">
        <f t="shared" si="44"/>
        <v>-269530.44736904016</v>
      </c>
      <c r="I367" s="77">
        <f t="shared" si="45"/>
        <v>-23478228.091049641</v>
      </c>
    </row>
    <row r="368" spans="1:9" ht="13.8">
      <c r="A368" s="81">
        <f>IF(Values_Entered,A367+1,"")</f>
        <v>351</v>
      </c>
      <c r="B368" s="78">
        <f t="shared" si="46"/>
        <v>55291</v>
      </c>
      <c r="C368" s="80">
        <f t="shared" si="47"/>
        <v>-23478228.091049641</v>
      </c>
      <c r="D368" s="77">
        <f t="shared" si="40"/>
        <v>106087.86919144379</v>
      </c>
      <c r="E368" s="74">
        <f t="shared" si="41"/>
        <v>0</v>
      </c>
      <c r="F368" s="77">
        <f t="shared" si="42"/>
        <v>106087.86919144379</v>
      </c>
      <c r="G368" s="77">
        <f t="shared" si="43"/>
        <v>380000.53025368962</v>
      </c>
      <c r="H368" s="77">
        <f t="shared" si="44"/>
        <v>-273912.66106224584</v>
      </c>
      <c r="I368" s="77">
        <f t="shared" si="45"/>
        <v>-23858228.621303331</v>
      </c>
    </row>
    <row r="369" spans="1:9" ht="13.8">
      <c r="A369" s="81">
        <f>IF(Values_Entered,A368+1,"")</f>
        <v>352</v>
      </c>
      <c r="B369" s="78">
        <f t="shared" si="46"/>
        <v>55322</v>
      </c>
      <c r="C369" s="80">
        <f t="shared" si="47"/>
        <v>-23858228.621303331</v>
      </c>
      <c r="D369" s="77">
        <f t="shared" si="40"/>
        <v>106087.86919144379</v>
      </c>
      <c r="E369" s="74">
        <f t="shared" si="41"/>
        <v>0</v>
      </c>
      <c r="F369" s="77">
        <f t="shared" si="42"/>
        <v>106087.86919144379</v>
      </c>
      <c r="G369" s="77">
        <f t="shared" si="43"/>
        <v>384433.86977331602</v>
      </c>
      <c r="H369" s="77">
        <f t="shared" si="44"/>
        <v>-278346.00058187224</v>
      </c>
      <c r="I369" s="77">
        <f t="shared" si="45"/>
        <v>-24242662.491076648</v>
      </c>
    </row>
    <row r="370" spans="1:9" ht="13.8">
      <c r="A370" s="81">
        <f>IF(Values_Entered,A369+1,"")</f>
        <v>353</v>
      </c>
      <c r="B370" s="78">
        <f t="shared" si="46"/>
        <v>55352</v>
      </c>
      <c r="C370" s="80">
        <f t="shared" si="47"/>
        <v>-24242662.491076648</v>
      </c>
      <c r="D370" s="77">
        <f t="shared" si="40"/>
        <v>106087.86919144379</v>
      </c>
      <c r="E370" s="74">
        <f t="shared" si="41"/>
        <v>0</v>
      </c>
      <c r="F370" s="77">
        <f t="shared" si="42"/>
        <v>106087.86919144379</v>
      </c>
      <c r="G370" s="77">
        <f t="shared" si="43"/>
        <v>388918.93158733804</v>
      </c>
      <c r="H370" s="77">
        <f t="shared" si="44"/>
        <v>-282831.06239589426</v>
      </c>
      <c r="I370" s="77">
        <f t="shared" si="45"/>
        <v>-24631581.422663987</v>
      </c>
    </row>
    <row r="371" spans="1:9" ht="13.8">
      <c r="A371" s="81">
        <f>IF(Values_Entered,A370+1,"")</f>
        <v>354</v>
      </c>
      <c r="B371" s="78">
        <f t="shared" si="46"/>
        <v>55383</v>
      </c>
      <c r="C371" s="80">
        <f t="shared" si="47"/>
        <v>-24631581.422663987</v>
      </c>
      <c r="D371" s="77">
        <f t="shared" si="40"/>
        <v>106087.86919144379</v>
      </c>
      <c r="E371" s="74">
        <f t="shared" si="41"/>
        <v>0</v>
      </c>
      <c r="F371" s="77">
        <f t="shared" si="42"/>
        <v>106087.86919144379</v>
      </c>
      <c r="G371" s="77">
        <f t="shared" si="43"/>
        <v>393456.31912252365</v>
      </c>
      <c r="H371" s="77">
        <f t="shared" si="44"/>
        <v>-287368.44993107987</v>
      </c>
      <c r="I371" s="77">
        <f t="shared" si="45"/>
        <v>-25025037.74178651</v>
      </c>
    </row>
    <row r="372" spans="1:9" ht="13.8">
      <c r="A372" s="81">
        <f>IF(Values_Entered,A371+1,"")</f>
        <v>355</v>
      </c>
      <c r="B372" s="78">
        <f t="shared" si="46"/>
        <v>55414</v>
      </c>
      <c r="C372" s="80">
        <f t="shared" si="47"/>
        <v>-25025037.74178651</v>
      </c>
      <c r="D372" s="77">
        <f t="shared" si="40"/>
        <v>106087.86919144379</v>
      </c>
      <c r="E372" s="74">
        <f t="shared" si="41"/>
        <v>0</v>
      </c>
      <c r="F372" s="77">
        <f t="shared" si="42"/>
        <v>106087.86919144379</v>
      </c>
      <c r="G372" s="77">
        <f t="shared" si="43"/>
        <v>398046.64284561976</v>
      </c>
      <c r="H372" s="77">
        <f t="shared" si="44"/>
        <v>-291958.77365417598</v>
      </c>
      <c r="I372" s="77">
        <f t="shared" si="45"/>
        <v>-25423084.384632129</v>
      </c>
    </row>
    <row r="373" spans="1:9" ht="13.8">
      <c r="A373" s="81">
        <f>IF(Values_Entered,A372+1,"")</f>
        <v>356</v>
      </c>
      <c r="B373" s="78">
        <f t="shared" si="46"/>
        <v>55444</v>
      </c>
      <c r="C373" s="80">
        <f t="shared" si="47"/>
        <v>-25423084.384632129</v>
      </c>
      <c r="D373" s="77">
        <f t="shared" si="40"/>
        <v>106087.86919144379</v>
      </c>
      <c r="E373" s="74">
        <f t="shared" si="41"/>
        <v>0</v>
      </c>
      <c r="F373" s="77">
        <f t="shared" si="42"/>
        <v>106087.86919144379</v>
      </c>
      <c r="G373" s="77">
        <f t="shared" si="43"/>
        <v>402690.5203454853</v>
      </c>
      <c r="H373" s="77">
        <f t="shared" si="44"/>
        <v>-296602.65115404152</v>
      </c>
      <c r="I373" s="77">
        <f t="shared" si="45"/>
        <v>-25825774.904977616</v>
      </c>
    </row>
    <row r="374" spans="1:9" ht="13.8">
      <c r="A374" s="81">
        <f>IF(Values_Entered,A373+1,"")</f>
        <v>357</v>
      </c>
      <c r="B374" s="78">
        <f t="shared" si="46"/>
        <v>55475</v>
      </c>
      <c r="C374" s="80">
        <f t="shared" si="47"/>
        <v>-25825774.904977616</v>
      </c>
      <c r="D374" s="77">
        <f t="shared" si="40"/>
        <v>106087.86919144379</v>
      </c>
      <c r="E374" s="74">
        <f t="shared" si="41"/>
        <v>0</v>
      </c>
      <c r="F374" s="77">
        <f t="shared" si="42"/>
        <v>106087.86919144379</v>
      </c>
      <c r="G374" s="77">
        <f t="shared" si="43"/>
        <v>407388.57641618262</v>
      </c>
      <c r="H374" s="77">
        <f t="shared" si="44"/>
        <v>-301300.70722473884</v>
      </c>
      <c r="I374" s="77">
        <f t="shared" si="45"/>
        <v>-26233163.481393799</v>
      </c>
    </row>
    <row r="375" spans="1:9" ht="13.8">
      <c r="A375" s="81">
        <f>IF(Values_Entered,A374+1,"")</f>
        <v>358</v>
      </c>
      <c r="B375" s="78">
        <f t="shared" si="46"/>
        <v>55505</v>
      </c>
      <c r="C375" s="80">
        <f t="shared" si="47"/>
        <v>-26233163.481393799</v>
      </c>
      <c r="D375" s="77">
        <f t="shared" si="40"/>
        <v>106087.86919144379</v>
      </c>
      <c r="E375" s="74">
        <f t="shared" si="41"/>
        <v>0</v>
      </c>
      <c r="F375" s="77">
        <f t="shared" si="42"/>
        <v>106087.86919144379</v>
      </c>
      <c r="G375" s="77">
        <f t="shared" si="43"/>
        <v>412141.44314103812</v>
      </c>
      <c r="H375" s="77">
        <f t="shared" si="44"/>
        <v>-306053.57394959434</v>
      </c>
      <c r="I375" s="77">
        <f t="shared" si="45"/>
        <v>-26645304.924534839</v>
      </c>
    </row>
    <row r="376" spans="1:9" ht="13.8">
      <c r="A376" s="81">
        <f>IF(Values_Entered,A375+1,"")</f>
        <v>359</v>
      </c>
      <c r="B376" s="78">
        <f t="shared" si="46"/>
        <v>55536</v>
      </c>
      <c r="C376" s="80">
        <f t="shared" si="47"/>
        <v>-26645304.924534839</v>
      </c>
      <c r="D376" s="77">
        <f t="shared" si="40"/>
        <v>106087.86919144379</v>
      </c>
      <c r="E376" s="74">
        <f t="shared" si="41"/>
        <v>0</v>
      </c>
      <c r="F376" s="77">
        <f t="shared" si="42"/>
        <v>106087.86919144379</v>
      </c>
      <c r="G376" s="77">
        <f t="shared" si="43"/>
        <v>416949.7599776836</v>
      </c>
      <c r="H376" s="77">
        <f t="shared" si="44"/>
        <v>-310861.89078623982</v>
      </c>
      <c r="I376" s="77">
        <f t="shared" si="45"/>
        <v>-27062254.684512522</v>
      </c>
    </row>
    <row r="377" spans="1:9" ht="13.8">
      <c r="A377" s="81">
        <f>IF(Values_Entered,A376+1,"")</f>
        <v>360</v>
      </c>
      <c r="B377" s="78">
        <f t="shared" si="46"/>
        <v>55567</v>
      </c>
      <c r="C377" s="80">
        <f t="shared" si="47"/>
        <v>-27062254.684512522</v>
      </c>
      <c r="D377" s="77">
        <f t="shared" si="40"/>
        <v>106087.86919144379</v>
      </c>
      <c r="E377" s="74">
        <f t="shared" si="41"/>
        <v>0</v>
      </c>
      <c r="F377" s="77">
        <f t="shared" si="42"/>
        <v>106087.86919144379</v>
      </c>
      <c r="G377" s="77">
        <f t="shared" si="43"/>
        <v>421814.17384408991</v>
      </c>
      <c r="H377" s="77">
        <f t="shared" si="44"/>
        <v>-315726.30465264613</v>
      </c>
      <c r="I377" s="77">
        <f t="shared" si="45"/>
        <v>-27484068.858356614</v>
      </c>
    </row>
    <row r="378" spans="1:9">
      <c r="A378" s="82"/>
      <c r="B378" s="82"/>
      <c r="C378" s="82"/>
      <c r="D378" s="82"/>
      <c r="E378" s="82"/>
      <c r="F378" s="82"/>
      <c r="G378" s="82"/>
      <c r="H378" s="82"/>
      <c r="I378" s="82"/>
    </row>
    <row r="380" spans="1:9">
      <c r="A380" s="48"/>
      <c r="B380" s="48"/>
      <c r="C380" s="48"/>
      <c r="D380" s="48"/>
      <c r="E380" s="48"/>
      <c r="F380" s="48"/>
      <c r="G380" s="48"/>
      <c r="H380" s="48"/>
      <c r="I380" s="48"/>
    </row>
    <row r="381" spans="1:9">
      <c r="A381" s="48"/>
      <c r="B381" s="48"/>
      <c r="C381" s="48"/>
      <c r="D381" s="48"/>
      <c r="E381" s="48"/>
      <c r="F381" s="48"/>
      <c r="G381" s="48"/>
      <c r="H381" s="48"/>
      <c r="I381" s="48"/>
    </row>
    <row r="382" spans="1:9">
      <c r="A382" s="48"/>
      <c r="B382" s="48"/>
      <c r="C382" s="48"/>
      <c r="D382" s="48"/>
      <c r="E382" s="48"/>
      <c r="F382" s="48"/>
      <c r="G382" s="48"/>
      <c r="H382" s="48"/>
      <c r="I382" s="48"/>
    </row>
    <row r="383" spans="1:9">
      <c r="A383" s="48"/>
      <c r="B383" s="48"/>
      <c r="C383" s="48"/>
      <c r="D383" s="48"/>
      <c r="E383" s="48"/>
      <c r="F383" s="48"/>
      <c r="G383" s="48"/>
      <c r="H383" s="48"/>
      <c r="I383" s="48"/>
    </row>
    <row r="384" spans="1:9">
      <c r="A384" s="48"/>
      <c r="B384" s="48"/>
      <c r="C384" s="48"/>
      <c r="D384" s="48"/>
      <c r="E384" s="48"/>
      <c r="F384" s="48"/>
      <c r="G384" s="48"/>
      <c r="H384" s="48"/>
      <c r="I384" s="48"/>
    </row>
    <row r="385" s="48" customFormat="1"/>
    <row r="386" s="48" customFormat="1"/>
    <row r="387" s="48" customFormat="1"/>
    <row r="388" s="48" customFormat="1"/>
    <row r="389" s="48" customFormat="1"/>
  </sheetData>
  <mergeCells count="13">
    <mergeCell ref="A6:C6"/>
    <mergeCell ref="A1:I1"/>
    <mergeCell ref="A4:C4"/>
    <mergeCell ref="F4:I4"/>
    <mergeCell ref="A5:C5"/>
    <mergeCell ref="F5:I5"/>
    <mergeCell ref="A15:C15"/>
    <mergeCell ref="A7:C7"/>
    <mergeCell ref="A8:C8"/>
    <mergeCell ref="A11:C11"/>
    <mergeCell ref="A12:C12"/>
    <mergeCell ref="A13:C13"/>
    <mergeCell ref="A14:C14"/>
  </mergeCells>
  <conditionalFormatting sqref="A18:I377">
    <cfRule type="expression" dxfId="1" priority="1" stopIfTrue="1">
      <formula>IF(ROW(A18)&gt;Last_Row,TRUE, FALSE)</formula>
    </cfRule>
    <cfRule type="expression" dxfId="0" priority="2" stopIfTrue="1">
      <formula>IF(ROW(A18)=Last_Row,TRUE, FALSE)</formula>
    </cfRule>
  </conditionalFormatting>
  <pageMargins left="0.75" right="0.5" top="0.5" bottom="0.5" header="0.5" footer="0.5"/>
  <pageSetup paperSize="9" scale="77"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C165C-FF91-4067-8A79-8392228A10AC}">
  <dimension ref="A1:D3"/>
  <sheetViews>
    <sheetView workbookViewId="0">
      <selection activeCell="D2" sqref="D2"/>
    </sheetView>
  </sheetViews>
  <sheetFormatPr defaultRowHeight="13.8"/>
  <sheetData>
    <row r="1" spans="1:4">
      <c r="A1" t="s">
        <v>144</v>
      </c>
      <c r="B1" t="s">
        <v>11</v>
      </c>
      <c r="C1" t="s">
        <v>143</v>
      </c>
      <c r="D1" t="s">
        <v>29</v>
      </c>
    </row>
    <row r="2" spans="1:4">
      <c r="A2" t="s">
        <v>145</v>
      </c>
      <c r="B2">
        <f>3000+3000</f>
        <v>6000</v>
      </c>
    </row>
    <row r="3" spans="1:4">
      <c r="A3" t="s">
        <v>138</v>
      </c>
      <c r="B3">
        <f>119*68</f>
        <v>8092</v>
      </c>
      <c r="C3">
        <f>18*220</f>
        <v>3960</v>
      </c>
      <c r="D3">
        <f>C3+B3</f>
        <v>12052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549</TotalTime>
  <Application>Microsoft Excel</Application>
  <DocSecurity>0</DocSecurity>
  <ScaleCrop>false</ScaleCrop>
  <HeadingPairs>
    <vt:vector size="4" baseType="variant">
      <vt:variant>
        <vt:lpstr>Worksheets</vt:lpstr>
      </vt:variant>
      <vt:variant>
        <vt:i4>6</vt:i4>
      </vt:variant>
      <vt:variant>
        <vt:lpstr>Named Ranges</vt:lpstr>
      </vt:variant>
      <vt:variant>
        <vt:i4>20</vt:i4>
      </vt:variant>
    </vt:vector>
  </HeadingPairs>
  <TitlesOfParts>
    <vt:vector size="26" baseType="lpstr">
      <vt:lpstr>2026</vt:lpstr>
      <vt:lpstr>Calculos</vt:lpstr>
      <vt:lpstr>Prestamos</vt:lpstr>
      <vt:lpstr>2doHogar</vt:lpstr>
      <vt:lpstr>Prestamo Hipotecario</vt:lpstr>
      <vt:lpstr>Alfombra</vt:lpstr>
      <vt:lpstr>'Prestamo Hipotecario'!Beg_Bal</vt:lpstr>
      <vt:lpstr>'Prestamo Hipotecario'!Data</vt:lpstr>
      <vt:lpstr>'Prestamo Hipotecario'!End_Bal</vt:lpstr>
      <vt:lpstr>'Prestamo Hipotecario'!Extra_Pay</vt:lpstr>
      <vt:lpstr>'Prestamo Hipotecario'!Full_Print</vt:lpstr>
      <vt:lpstr>'Prestamo Hipotecario'!Int</vt:lpstr>
      <vt:lpstr>'Prestamo Hipotecario'!Interest_Rate</vt:lpstr>
      <vt:lpstr>'Prestamo Hipotecario'!Loan_Amount</vt:lpstr>
      <vt:lpstr>'Prestamo Hipotecario'!Loan_Start</vt:lpstr>
      <vt:lpstr>'Prestamo Hipotecario'!Loan_Years</vt:lpstr>
      <vt:lpstr>'Prestamo Hipotecario'!Pay_Date</vt:lpstr>
      <vt:lpstr>'Prestamo Hipotecario'!Pay_Num</vt:lpstr>
      <vt:lpstr>'Prestamo Hipotecario'!Princ</vt:lpstr>
      <vt:lpstr>'Prestamo Hipotecario'!Print_Titles</vt:lpstr>
      <vt:lpstr>'Prestamo Hipotecario'!Sched_Pay</vt:lpstr>
      <vt:lpstr>'Prestamo Hipotecario'!Scheduled_Extra_Payments</vt:lpstr>
      <vt:lpstr>'Prestamo Hipotecario'!Scheduled_Interest_Rate</vt:lpstr>
      <vt:lpstr>'Prestamo Hipotecario'!Scheduled_Monthly_Payment</vt:lpstr>
      <vt:lpstr>'Prestamo Hipotecario'!Total_Interest</vt:lpstr>
      <vt:lpstr>'Prestamo Hipotecario'!Total_Pay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Yisel Taveras</dc:creator>
  <cp:lastModifiedBy>Yorki Bonilla</cp:lastModifiedBy>
  <cp:revision>51</cp:revision>
  <cp:lastPrinted>2025-12-03T23:15:36Z</cp:lastPrinted>
  <dcterms:created xsi:type="dcterms:W3CDTF">2020-01-09T18:02:36Z</dcterms:created>
  <dcterms:modified xsi:type="dcterms:W3CDTF">2026-08-11T22:51:24Z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TC062062833082</vt:lpwstr>
  </property>
</Properties>
</file>